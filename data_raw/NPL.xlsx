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1. Thesis\data_raw\"/>
    </mc:Choice>
  </mc:AlternateContent>
  <bookViews>
    <workbookView xWindow="0" yWindow="0" windowWidth="22884" windowHeight="9024"/>
  </bookViews>
  <sheets>
    <sheet name="NPL_Total" sheetId="1" r:id="rId1"/>
    <sheet name="NPL_HB" sheetId="2" r:id="rId2"/>
    <sheet name="NPL_IB" sheetId="3" r:id="rId3"/>
  </sheets>
  <definedNames>
    <definedName name="_xlnm.Print_Area" localSheetId="1">NPL_HB!$A$3:$M$77</definedName>
    <definedName name="_xlnm.Print_Area" localSheetId="2">NPL_IB!$A$3:$M$77</definedName>
    <definedName name="_xlnm.Print_Area" localSheetId="0">NPL_Total!$A$3:$M$77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5" i="3" l="1"/>
  <c r="H75" i="3"/>
  <c r="G75" i="3"/>
  <c r="F75" i="3"/>
  <c r="E75" i="3"/>
  <c r="D75" i="3"/>
  <c r="C75" i="3"/>
  <c r="B75" i="3"/>
  <c r="I74" i="3"/>
  <c r="H74" i="3"/>
  <c r="G74" i="3"/>
  <c r="F74" i="3"/>
  <c r="E74" i="3"/>
  <c r="D74" i="3"/>
  <c r="C74" i="3"/>
  <c r="B74" i="3"/>
  <c r="I63" i="3"/>
  <c r="H63" i="3"/>
  <c r="G63" i="3"/>
  <c r="F63" i="3"/>
  <c r="E63" i="3"/>
  <c r="D63" i="3"/>
  <c r="C63" i="3"/>
  <c r="B63" i="3"/>
  <c r="I61" i="3"/>
  <c r="H61" i="3"/>
  <c r="G61" i="3"/>
  <c r="F61" i="3"/>
  <c r="E61" i="3"/>
  <c r="D61" i="3"/>
  <c r="C61" i="3"/>
  <c r="B61" i="3"/>
  <c r="I57" i="3"/>
  <c r="H57" i="3"/>
  <c r="G57" i="3"/>
  <c r="F57" i="3"/>
  <c r="E57" i="3"/>
  <c r="D57" i="3"/>
  <c r="C57" i="3"/>
  <c r="B57" i="3"/>
  <c r="I52" i="3"/>
  <c r="H52" i="3"/>
  <c r="G52" i="3"/>
  <c r="F52" i="3"/>
  <c r="E52" i="3"/>
  <c r="D52" i="3"/>
  <c r="C52" i="3"/>
  <c r="B52" i="3"/>
  <c r="I48" i="3"/>
  <c r="H48" i="3"/>
  <c r="G48" i="3"/>
  <c r="F48" i="3"/>
  <c r="E48" i="3"/>
  <c r="D48" i="3"/>
  <c r="C48" i="3"/>
  <c r="B48" i="3"/>
  <c r="I41" i="3"/>
  <c r="H41" i="3"/>
  <c r="G41" i="3"/>
  <c r="F41" i="3"/>
  <c r="E41" i="3"/>
  <c r="D41" i="3"/>
  <c r="C41" i="3"/>
  <c r="B41" i="3"/>
  <c r="I40" i="3"/>
  <c r="H40" i="3"/>
  <c r="G40" i="3"/>
  <c r="F40" i="3"/>
  <c r="E40" i="3"/>
  <c r="D40" i="3"/>
  <c r="C40" i="3"/>
  <c r="B40" i="3"/>
  <c r="I39" i="3"/>
  <c r="H39" i="3"/>
  <c r="G39" i="3"/>
  <c r="F39" i="3"/>
  <c r="E39" i="3"/>
  <c r="D39" i="3"/>
  <c r="C39" i="3"/>
  <c r="B39" i="3"/>
  <c r="G38" i="3"/>
  <c r="C38" i="3"/>
  <c r="I37" i="3"/>
  <c r="H37" i="3"/>
  <c r="G37" i="3"/>
  <c r="F37" i="3"/>
  <c r="E37" i="3"/>
  <c r="D37" i="3"/>
  <c r="C37" i="3"/>
  <c r="B37" i="3"/>
  <c r="I36" i="3"/>
  <c r="H36" i="3"/>
  <c r="G36" i="3"/>
  <c r="F36" i="3"/>
  <c r="E36" i="3"/>
  <c r="D36" i="3"/>
  <c r="C36" i="3"/>
  <c r="B36" i="3"/>
  <c r="I30" i="3"/>
  <c r="H30" i="3"/>
  <c r="G30" i="3"/>
  <c r="F30" i="3"/>
  <c r="E30" i="3"/>
  <c r="D30" i="3"/>
  <c r="C30" i="3"/>
  <c r="B30" i="3"/>
  <c r="I26" i="3"/>
  <c r="I67" i="3" s="1"/>
  <c r="H26" i="3"/>
  <c r="H67" i="3" s="1"/>
  <c r="G26" i="3"/>
  <c r="G67" i="3" s="1"/>
  <c r="F26" i="3"/>
  <c r="F67" i="3" s="1"/>
  <c r="F76" i="3" s="1"/>
  <c r="F77" i="3" s="1"/>
  <c r="E26" i="3"/>
  <c r="E67" i="3" s="1"/>
  <c r="D26" i="3"/>
  <c r="D67" i="3" s="1"/>
  <c r="C26" i="3"/>
  <c r="C67" i="3" s="1"/>
  <c r="B26" i="3"/>
  <c r="B67" i="3" s="1"/>
  <c r="B76" i="3" s="1"/>
  <c r="B77" i="3" s="1"/>
  <c r="I22" i="3"/>
  <c r="H22" i="3"/>
  <c r="G22" i="3"/>
  <c r="F22" i="3"/>
  <c r="E22" i="3"/>
  <c r="D22" i="3"/>
  <c r="C22" i="3"/>
  <c r="B22" i="3"/>
  <c r="I18" i="3"/>
  <c r="H18" i="3"/>
  <c r="G18" i="3"/>
  <c r="F18" i="3"/>
  <c r="E18" i="3"/>
  <c r="D18" i="3"/>
  <c r="C18" i="3"/>
  <c r="B18" i="3"/>
  <c r="I17" i="3"/>
  <c r="H17" i="3"/>
  <c r="G17" i="3"/>
  <c r="F17" i="3"/>
  <c r="E17" i="3"/>
  <c r="D17" i="3"/>
  <c r="C17" i="3"/>
  <c r="B17" i="3"/>
  <c r="I14" i="3"/>
  <c r="H14" i="3"/>
  <c r="G14" i="3"/>
  <c r="F14" i="3"/>
  <c r="E14" i="3"/>
  <c r="D14" i="3"/>
  <c r="C14" i="3"/>
  <c r="B14" i="3"/>
  <c r="I11" i="3"/>
  <c r="H11" i="3"/>
  <c r="G11" i="3"/>
  <c r="F11" i="3"/>
  <c r="E11" i="3"/>
  <c r="D11" i="3"/>
  <c r="C11" i="3"/>
  <c r="B11" i="3"/>
  <c r="I8" i="3"/>
  <c r="H8" i="3"/>
  <c r="G8" i="3"/>
  <c r="F8" i="3"/>
  <c r="E8" i="3"/>
  <c r="D8" i="3"/>
  <c r="C8" i="3"/>
  <c r="B8" i="3"/>
  <c r="I75" i="2"/>
  <c r="H75" i="2"/>
  <c r="G75" i="2"/>
  <c r="F75" i="2"/>
  <c r="E75" i="2"/>
  <c r="D75" i="2"/>
  <c r="C75" i="2"/>
  <c r="B75" i="2"/>
  <c r="I74" i="2"/>
  <c r="H74" i="2"/>
  <c r="G74" i="2"/>
  <c r="F74" i="2"/>
  <c r="E74" i="2"/>
  <c r="D74" i="2"/>
  <c r="C74" i="2"/>
  <c r="B74" i="2"/>
  <c r="I63" i="2"/>
  <c r="H63" i="2"/>
  <c r="G63" i="2"/>
  <c r="F63" i="2"/>
  <c r="E63" i="2"/>
  <c r="D63" i="2"/>
  <c r="C63" i="2"/>
  <c r="B63" i="2"/>
  <c r="I61" i="2"/>
  <c r="H61" i="2"/>
  <c r="G61" i="2"/>
  <c r="F61" i="2"/>
  <c r="E61" i="2"/>
  <c r="D61" i="2"/>
  <c r="C61" i="2"/>
  <c r="B61" i="2"/>
  <c r="I57" i="2"/>
  <c r="H57" i="2"/>
  <c r="G57" i="2"/>
  <c r="F57" i="2"/>
  <c r="E57" i="2"/>
  <c r="D57" i="2"/>
  <c r="C57" i="2"/>
  <c r="B57" i="2"/>
  <c r="I52" i="2"/>
  <c r="H52" i="2"/>
  <c r="G52" i="2"/>
  <c r="F52" i="2"/>
  <c r="E52" i="2"/>
  <c r="D52" i="2"/>
  <c r="C52" i="2"/>
  <c r="B52" i="2"/>
  <c r="I48" i="2"/>
  <c r="H48" i="2"/>
  <c r="G48" i="2"/>
  <c r="F48" i="2"/>
  <c r="E48" i="2"/>
  <c r="D48" i="2"/>
  <c r="C48" i="2"/>
  <c r="B48" i="2"/>
  <c r="I41" i="2"/>
  <c r="H41" i="2"/>
  <c r="G41" i="2"/>
  <c r="F41" i="2"/>
  <c r="E41" i="2"/>
  <c r="D41" i="2"/>
  <c r="C41" i="2"/>
  <c r="B41" i="2"/>
  <c r="I40" i="2"/>
  <c r="H40" i="2"/>
  <c r="G40" i="2"/>
  <c r="F40" i="2"/>
  <c r="E40" i="2"/>
  <c r="D40" i="2"/>
  <c r="C40" i="2"/>
  <c r="B40" i="2"/>
  <c r="I39" i="2"/>
  <c r="H39" i="2"/>
  <c r="G39" i="2"/>
  <c r="F39" i="2"/>
  <c r="E39" i="2"/>
  <c r="D39" i="2"/>
  <c r="C39" i="2"/>
  <c r="B39" i="2"/>
  <c r="I37" i="2"/>
  <c r="H37" i="2"/>
  <c r="G37" i="2"/>
  <c r="F37" i="2"/>
  <c r="E37" i="2"/>
  <c r="D37" i="2"/>
  <c r="C37" i="2"/>
  <c r="B37" i="2"/>
  <c r="I36" i="2"/>
  <c r="H36" i="2"/>
  <c r="G36" i="2"/>
  <c r="F36" i="2"/>
  <c r="E36" i="2"/>
  <c r="D36" i="2"/>
  <c r="C36" i="2"/>
  <c r="B36" i="2"/>
  <c r="I30" i="2"/>
  <c r="H30" i="2"/>
  <c r="G30" i="2"/>
  <c r="G38" i="2" s="1"/>
  <c r="F30" i="2"/>
  <c r="E30" i="2"/>
  <c r="D30" i="2"/>
  <c r="C30" i="2"/>
  <c r="C38" i="2" s="1"/>
  <c r="B30" i="2"/>
  <c r="I26" i="2"/>
  <c r="I67" i="2" s="1"/>
  <c r="H26" i="2"/>
  <c r="H67" i="2" s="1"/>
  <c r="G26" i="2"/>
  <c r="G67" i="2" s="1"/>
  <c r="F26" i="2"/>
  <c r="F67" i="2" s="1"/>
  <c r="F76" i="2" s="1"/>
  <c r="F77" i="2" s="1"/>
  <c r="E26" i="2"/>
  <c r="E67" i="2" s="1"/>
  <c r="D26" i="2"/>
  <c r="D67" i="2" s="1"/>
  <c r="C26" i="2"/>
  <c r="C67" i="2" s="1"/>
  <c r="B26" i="2"/>
  <c r="B67" i="2" s="1"/>
  <c r="B76" i="2" s="1"/>
  <c r="B77" i="2" s="1"/>
  <c r="I22" i="2"/>
  <c r="H22" i="2"/>
  <c r="G22" i="2"/>
  <c r="F22" i="2"/>
  <c r="E22" i="2"/>
  <c r="D22" i="2"/>
  <c r="C22" i="2"/>
  <c r="B22" i="2"/>
  <c r="I18" i="2"/>
  <c r="H18" i="2"/>
  <c r="G18" i="2"/>
  <c r="F18" i="2"/>
  <c r="E18" i="2"/>
  <c r="D18" i="2"/>
  <c r="C18" i="2"/>
  <c r="B18" i="2"/>
  <c r="I17" i="2"/>
  <c r="H17" i="2"/>
  <c r="G17" i="2"/>
  <c r="F17" i="2"/>
  <c r="E17" i="2"/>
  <c r="D17" i="2"/>
  <c r="C17" i="2"/>
  <c r="B17" i="2"/>
  <c r="I14" i="2"/>
  <c r="H14" i="2"/>
  <c r="G14" i="2"/>
  <c r="F14" i="2"/>
  <c r="E14" i="2"/>
  <c r="D14" i="2"/>
  <c r="C14" i="2"/>
  <c r="B14" i="2"/>
  <c r="I11" i="2"/>
  <c r="H11" i="2"/>
  <c r="G11" i="2"/>
  <c r="F11" i="2"/>
  <c r="E11" i="2"/>
  <c r="D11" i="2"/>
  <c r="C11" i="2"/>
  <c r="B11" i="2"/>
  <c r="I8" i="2"/>
  <c r="H8" i="2"/>
  <c r="G8" i="2"/>
  <c r="F8" i="2"/>
  <c r="E8" i="2"/>
  <c r="D8" i="2"/>
  <c r="C8" i="2"/>
  <c r="B8" i="2"/>
  <c r="B38" i="2" l="1"/>
  <c r="B34" i="2"/>
  <c r="H38" i="3"/>
  <c r="F34" i="2"/>
  <c r="E38" i="3"/>
  <c r="D38" i="2"/>
  <c r="H38" i="2"/>
  <c r="B38" i="3"/>
  <c r="F38" i="3"/>
  <c r="B34" i="3"/>
  <c r="F38" i="2"/>
  <c r="D38" i="3"/>
  <c r="I38" i="3"/>
  <c r="E38" i="2"/>
  <c r="I38" i="2"/>
  <c r="F34" i="3"/>
  <c r="C76" i="2"/>
  <c r="C77" i="2" s="1"/>
  <c r="C68" i="2"/>
  <c r="G76" i="2"/>
  <c r="G77" i="2" s="1"/>
  <c r="G68" i="2"/>
  <c r="I68" i="3"/>
  <c r="I76" i="3"/>
  <c r="I77" i="3" s="1"/>
  <c r="D68" i="2"/>
  <c r="D76" i="2"/>
  <c r="D77" i="2" s="1"/>
  <c r="H68" i="2"/>
  <c r="H76" i="2"/>
  <c r="H77" i="2" s="1"/>
  <c r="E68" i="2"/>
  <c r="E76" i="2"/>
  <c r="E77" i="2" s="1"/>
  <c r="I68" i="2"/>
  <c r="I76" i="2"/>
  <c r="I77" i="2" s="1"/>
  <c r="C76" i="3"/>
  <c r="C77" i="3" s="1"/>
  <c r="C68" i="3"/>
  <c r="G76" i="3"/>
  <c r="G77" i="3" s="1"/>
  <c r="G68" i="3"/>
  <c r="D68" i="3"/>
  <c r="D76" i="3"/>
  <c r="D77" i="3" s="1"/>
  <c r="H68" i="3"/>
  <c r="H76" i="3"/>
  <c r="H77" i="3" s="1"/>
  <c r="E68" i="3"/>
  <c r="E76" i="3"/>
  <c r="E77" i="3" s="1"/>
  <c r="C34" i="2"/>
  <c r="G34" i="2"/>
  <c r="B68" i="2"/>
  <c r="F68" i="2"/>
  <c r="C34" i="3"/>
  <c r="G34" i="3"/>
  <c r="B68" i="3"/>
  <c r="F68" i="3"/>
  <c r="D34" i="2"/>
  <c r="H34" i="2"/>
  <c r="D34" i="3"/>
  <c r="H34" i="3"/>
  <c r="E34" i="2"/>
  <c r="I34" i="2"/>
  <c r="E34" i="3"/>
  <c r="I34" i="3"/>
</calcChain>
</file>

<file path=xl/sharedStrings.xml><?xml version="1.0" encoding="utf-8"?>
<sst xmlns="http://schemas.openxmlformats.org/spreadsheetml/2006/main" count="237" uniqueCount="49">
  <si>
    <t>Обсяги активних операцій та частка непрацюючих активів*</t>
  </si>
  <si>
    <t>млн.грн.</t>
  </si>
  <si>
    <t>Активна операція</t>
  </si>
  <si>
    <t>01.02.2017**</t>
  </si>
  <si>
    <t>Кредитні операції:</t>
  </si>
  <si>
    <t>Кредити корпоративному сектору</t>
  </si>
  <si>
    <t>непрацюючі кредити</t>
  </si>
  <si>
    <t>частка непрацюючих кредитів, %</t>
  </si>
  <si>
    <t xml:space="preserve">Кредити фізичним особам (включно із фізичними особами-підприємцями) </t>
  </si>
  <si>
    <t>Міжбанківські кредити, депозити (за виключенням коррахунків)</t>
  </si>
  <si>
    <t>Кредити органам державної влади та місцевого самоврядування</t>
  </si>
  <si>
    <t>Всі кредити</t>
  </si>
  <si>
    <t xml:space="preserve">        у т.ч. банки:</t>
  </si>
  <si>
    <t xml:space="preserve">            з державною часткою, з них</t>
  </si>
  <si>
    <t xml:space="preserve">              АТ КБ "Приватбанк"</t>
  </si>
  <si>
    <t xml:space="preserve">               з державною часткою крім АТ КБ "Приватбанк"</t>
  </si>
  <si>
    <t xml:space="preserve">            іноземних банківських груп</t>
  </si>
  <si>
    <t xml:space="preserve">            з приватним капіталом</t>
  </si>
  <si>
    <t xml:space="preserve">            неплатоспроможні</t>
  </si>
  <si>
    <t xml:space="preserve">    непрацюючі кредити</t>
  </si>
  <si>
    <t xml:space="preserve">    частка непрацюючих кредитів, %</t>
  </si>
  <si>
    <t>Довідково: кількість банків, що надали звітність:</t>
  </si>
  <si>
    <t>Інші активи:</t>
  </si>
  <si>
    <t>Дебіторська заборгованість</t>
  </si>
  <si>
    <t>Дебіторська заборгованість, за якою не оцінюється кредитний ризик</t>
  </si>
  <si>
    <t>Дебіторська заборгованість, за якою оцінюється кредитний ризик</t>
  </si>
  <si>
    <t>непрацюючі активи</t>
  </si>
  <si>
    <t>частка непрацюючих активів, %</t>
  </si>
  <si>
    <t>Цінні папери та інші фінансові інвестиції</t>
  </si>
  <si>
    <t>Кошти на коррахунках в інших банках</t>
  </si>
  <si>
    <t>Кошти на коррахунках, за якими не оцінюється кредитний ризик</t>
  </si>
  <si>
    <t>Кошти на коррахунках, за якими оцінюється кредитний ризик</t>
  </si>
  <si>
    <t>Похідні фінансові активи</t>
  </si>
  <si>
    <t>Усього за активними операціями (без фінансових зобов'язань)</t>
  </si>
  <si>
    <t>Інші активи</t>
  </si>
  <si>
    <t>Загальні активи</t>
  </si>
  <si>
    <t>Фінансові зобов'язання (позабалансові)</t>
  </si>
  <si>
    <t>Фінансові зобов'язання, за якими не оцінюється кредитний ризик</t>
  </si>
  <si>
    <t>Фінансові зобовязання***, за якими оцінюється кредитний ризик</t>
  </si>
  <si>
    <t>Загальні активи та фінансові зобов'язання</t>
  </si>
  <si>
    <t>Джерело: файли статистичної звітності D5x, 02x</t>
  </si>
  <si>
    <t>* Дані та розрахунки наведені за  загальними активами (без вирахування резервів).  Непрацюючі активи визначені відповідно до правил Постанови НБУ № 351 від 30.06.2016. Непрацюючими визначено активи, за якими відбулася подія дефолту. Дефолт  визначається фактом прострочення платежу за активом понад 90 днів (30 для банків-боржників), або якщо вчасне погашення боргу позичальником є малоймовірним без стягнення забезпечення.</t>
  </si>
  <si>
    <t>** Інформація на цю дату  відсутня для ряду банків.</t>
  </si>
  <si>
    <t>*** Фінансові зобов’язання вказані без врахування коефіцієнта кредитної конверсії</t>
  </si>
  <si>
    <t>*** фінансові зобов’язання вказані без врахування коефіцієнта кредитної конверсії</t>
  </si>
  <si>
    <t>Іноземна валюта</t>
  </si>
  <si>
    <t>Національна валюта</t>
  </si>
  <si>
    <t>Усього</t>
  </si>
  <si>
    <t>2/1/2017**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</si>
</sst>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4" tint="-0.249977111117893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  <font>
      <sz val="11"/>
      <color theme="3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b/>
      <sz val="11"/>
      <color indexed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0">
    <xf numFmtId="0" fontId="0" fillId="0" borderId="0" xfId="0"/>
    <xf numFmtId="0" fontId="3" fillId="0" borderId="0" xfId="0" applyFont="1" applyAlignment="1">
      <alignment vertical="center"/>
    </xf>
    <xf numFmtId="0" fontId="0" fillId="0" borderId="0" xfId="0" applyFill="1" applyAlignment="1">
      <alignment vertical="center"/>
    </xf>
    <xf numFmtId="3" fontId="5" fillId="0" borderId="0" xfId="0" applyNumberFormat="1" applyFont="1" applyFill="1" applyAlignment="1">
      <alignment horizontal="right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3" fontId="7" fillId="0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 applyFill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/>
    </xf>
    <xf numFmtId="14" fontId="3" fillId="0" borderId="3" xfId="0" applyNumberFormat="1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5" xfId="0" applyFont="1" applyFill="1" applyBorder="1" applyAlignment="1">
      <alignment vertical="center" wrapText="1"/>
    </xf>
    <xf numFmtId="4" fontId="2" fillId="0" borderId="6" xfId="0" applyNumberFormat="1" applyFont="1" applyFill="1" applyBorder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3" fontId="0" fillId="0" borderId="4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4" xfId="0" applyBorder="1" applyAlignment="1">
      <alignment vertical="center"/>
    </xf>
    <xf numFmtId="3" fontId="0" fillId="0" borderId="8" xfId="0" applyNumberFormat="1" applyFont="1" applyFill="1" applyBorder="1" applyAlignment="1">
      <alignment vertical="center" wrapText="1"/>
    </xf>
    <xf numFmtId="3" fontId="0" fillId="0" borderId="6" xfId="0" applyNumberFormat="1" applyFill="1" applyBorder="1" applyAlignment="1">
      <alignment vertical="center"/>
    </xf>
    <xf numFmtId="3" fontId="0" fillId="0" borderId="9" xfId="0" applyNumberFormat="1" applyFill="1" applyBorder="1" applyAlignment="1">
      <alignment vertical="center"/>
    </xf>
    <xf numFmtId="3" fontId="0" fillId="0" borderId="6" xfId="0" applyNumberFormat="1" applyBorder="1" applyAlignment="1">
      <alignment vertical="center"/>
    </xf>
    <xf numFmtId="3" fontId="0" fillId="0" borderId="9" xfId="0" applyNumberFormat="1" applyBorder="1" applyAlignment="1">
      <alignment vertical="center"/>
    </xf>
    <xf numFmtId="3" fontId="0" fillId="0" borderId="10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3" fontId="0" fillId="0" borderId="11" xfId="0" applyNumberFormat="1" applyFont="1" applyFill="1" applyBorder="1" applyAlignment="1">
      <alignment horizontal="left" vertical="center" wrapText="1" indent="1"/>
    </xf>
    <xf numFmtId="3" fontId="0" fillId="0" borderId="10" xfId="0" applyNumberFormat="1" applyFill="1" applyBorder="1" applyAlignment="1">
      <alignment vertical="center"/>
    </xf>
    <xf numFmtId="4" fontId="9" fillId="0" borderId="12" xfId="0" applyNumberFormat="1" applyFont="1" applyFill="1" applyBorder="1" applyAlignment="1">
      <alignment horizontal="left" vertical="center" wrapText="1" indent="1"/>
    </xf>
    <xf numFmtId="4" fontId="9" fillId="0" borderId="13" xfId="0" applyNumberFormat="1" applyFont="1" applyFill="1" applyBorder="1" applyAlignment="1">
      <alignment vertical="center"/>
    </xf>
    <xf numFmtId="4" fontId="9" fillId="0" borderId="14" xfId="0" applyNumberFormat="1" applyFont="1" applyFill="1" applyBorder="1" applyAlignment="1">
      <alignment vertical="center"/>
    </xf>
    <xf numFmtId="4" fontId="9" fillId="0" borderId="12" xfId="0" applyNumberFormat="1" applyFont="1" applyFill="1" applyBorder="1" applyAlignment="1">
      <alignment vertical="center"/>
    </xf>
    <xf numFmtId="4" fontId="9" fillId="0" borderId="6" xfId="0" applyNumberFormat="1" applyFont="1" applyFill="1" applyBorder="1" applyAlignment="1">
      <alignment vertical="center"/>
    </xf>
    <xf numFmtId="4" fontId="9" fillId="0" borderId="15" xfId="0" applyNumberFormat="1" applyFont="1" applyBorder="1" applyAlignment="1">
      <alignment vertical="center"/>
    </xf>
    <xf numFmtId="4" fontId="9" fillId="0" borderId="13" xfId="0" applyNumberFormat="1" applyFont="1" applyBorder="1" applyAlignment="1">
      <alignment vertical="center"/>
    </xf>
    <xf numFmtId="4" fontId="9" fillId="0" borderId="0" xfId="0" applyNumberFormat="1" applyFont="1" applyAlignment="1">
      <alignment vertical="center"/>
    </xf>
    <xf numFmtId="3" fontId="0" fillId="0" borderId="0" xfId="0" applyNumberFormat="1" applyFill="1" applyBorder="1" applyAlignment="1">
      <alignment vertical="center"/>
    </xf>
    <xf numFmtId="3" fontId="0" fillId="0" borderId="7" xfId="0" applyNumberFormat="1" applyBorder="1" applyAlignment="1">
      <alignment vertical="center"/>
    </xf>
    <xf numFmtId="3" fontId="0" fillId="0" borderId="4" xfId="0" applyNumberFormat="1" applyBorder="1" applyAlignment="1">
      <alignment vertical="center"/>
    </xf>
    <xf numFmtId="4" fontId="9" fillId="0" borderId="16" xfId="0" applyNumberFormat="1" applyFont="1" applyFill="1" applyBorder="1" applyAlignment="1">
      <alignment vertical="center"/>
    </xf>
    <xf numFmtId="4" fontId="9" fillId="0" borderId="16" xfId="0" applyNumberFormat="1" applyFont="1" applyBorder="1" applyAlignment="1">
      <alignment vertical="center"/>
    </xf>
    <xf numFmtId="3" fontId="0" fillId="0" borderId="7" xfId="0" applyNumberFormat="1" applyFill="1" applyBorder="1" applyAlignment="1">
      <alignment vertical="center"/>
    </xf>
    <xf numFmtId="4" fontId="9" fillId="0" borderId="6" xfId="0" applyNumberFormat="1" applyFont="1" applyBorder="1" applyAlignment="1">
      <alignment vertical="center"/>
    </xf>
    <xf numFmtId="3" fontId="0" fillId="0" borderId="17" xfId="0" applyNumberFormat="1" applyFont="1" applyFill="1" applyBorder="1" applyAlignment="1">
      <alignment vertical="center" wrapText="1"/>
    </xf>
    <xf numFmtId="3" fontId="0" fillId="0" borderId="18" xfId="0" applyNumberFormat="1" applyFill="1" applyBorder="1" applyAlignment="1">
      <alignment vertical="center"/>
    </xf>
    <xf numFmtId="3" fontId="3" fillId="0" borderId="7" xfId="0" applyNumberFormat="1" applyFont="1" applyBorder="1" applyAlignment="1">
      <alignment vertical="center"/>
    </xf>
    <xf numFmtId="3" fontId="3" fillId="0" borderId="7" xfId="0" applyNumberFormat="1" applyFont="1" applyFill="1" applyBorder="1" applyAlignment="1">
      <alignment vertical="center"/>
    </xf>
    <xf numFmtId="3" fontId="3" fillId="0" borderId="19" xfId="0" applyNumberFormat="1" applyFont="1" applyFill="1" applyBorder="1" applyAlignment="1">
      <alignment vertical="center"/>
    </xf>
    <xf numFmtId="3" fontId="3" fillId="0" borderId="6" xfId="0" applyNumberFormat="1" applyFont="1" applyFill="1" applyBorder="1" applyAlignment="1">
      <alignment vertical="center"/>
    </xf>
    <xf numFmtId="3" fontId="3" fillId="0" borderId="9" xfId="0" applyNumberFormat="1" applyFont="1" applyBorder="1" applyAlignment="1">
      <alignment vertical="center"/>
    </xf>
    <xf numFmtId="3" fontId="3" fillId="0" borderId="0" xfId="0" applyNumberFormat="1" applyFont="1" applyAlignment="1">
      <alignment vertical="center"/>
    </xf>
    <xf numFmtId="3" fontId="0" fillId="0" borderId="15" xfId="0" applyNumberFormat="1" applyFont="1" applyBorder="1" applyAlignment="1">
      <alignment vertical="center"/>
    </xf>
    <xf numFmtId="3" fontId="0" fillId="0" borderId="10" xfId="0" applyNumberFormat="1" applyFont="1" applyBorder="1" applyAlignment="1">
      <alignment vertical="center"/>
    </xf>
    <xf numFmtId="3" fontId="0" fillId="0" borderId="9" xfId="0" applyNumberFormat="1" applyFont="1" applyFill="1" applyBorder="1" applyAlignment="1">
      <alignment vertical="center"/>
    </xf>
    <xf numFmtId="3" fontId="0" fillId="0" borderId="20" xfId="0" applyNumberFormat="1" applyFont="1" applyFill="1" applyBorder="1" applyAlignment="1">
      <alignment vertical="center"/>
    </xf>
    <xf numFmtId="3" fontId="0" fillId="0" borderId="6" xfId="0" applyNumberFormat="1" applyFont="1" applyFill="1" applyBorder="1" applyAlignment="1">
      <alignment vertical="center"/>
    </xf>
    <xf numFmtId="3" fontId="0" fillId="0" borderId="10" xfId="0" applyNumberFormat="1" applyFont="1" applyFill="1" applyBorder="1" applyAlignment="1">
      <alignment vertical="center"/>
    </xf>
    <xf numFmtId="3" fontId="0" fillId="0" borderId="15" xfId="0" applyNumberFormat="1" applyFont="1" applyFill="1" applyBorder="1" applyAlignment="1">
      <alignment vertical="center"/>
    </xf>
    <xf numFmtId="3" fontId="0" fillId="0" borderId="0" xfId="0" applyNumberFormat="1" applyFont="1" applyAlignment="1">
      <alignment vertical="center"/>
    </xf>
    <xf numFmtId="3" fontId="0" fillId="0" borderId="5" xfId="0" applyNumberFormat="1" applyFont="1" applyFill="1" applyBorder="1" applyAlignment="1">
      <alignment vertical="center"/>
    </xf>
    <xf numFmtId="3" fontId="7" fillId="0" borderId="9" xfId="0" applyNumberFormat="1" applyFont="1" applyFill="1" applyBorder="1" applyAlignment="1">
      <alignment vertical="center"/>
    </xf>
    <xf numFmtId="3" fontId="7" fillId="0" borderId="10" xfId="0" applyNumberFormat="1" applyFont="1" applyFill="1" applyBorder="1" applyAlignment="1">
      <alignment vertical="center"/>
    </xf>
    <xf numFmtId="3" fontId="7" fillId="0" borderId="15" xfId="0" applyNumberFormat="1" applyFont="1" applyFill="1" applyBorder="1" applyAlignment="1">
      <alignment vertical="center"/>
    </xf>
    <xf numFmtId="3" fontId="7" fillId="0" borderId="6" xfId="0" applyNumberFormat="1" applyFont="1" applyFill="1" applyBorder="1" applyAlignment="1">
      <alignment vertical="center"/>
    </xf>
    <xf numFmtId="3" fontId="7" fillId="0" borderId="5" xfId="0" applyNumberFormat="1" applyFont="1" applyBorder="1" applyAlignment="1">
      <alignment vertical="center"/>
    </xf>
    <xf numFmtId="3" fontId="7" fillId="0" borderId="21" xfId="0" applyNumberFormat="1" applyFont="1" applyFill="1" applyBorder="1" applyAlignment="1">
      <alignment vertical="center"/>
    </xf>
    <xf numFmtId="3" fontId="7" fillId="0" borderId="10" xfId="0" applyNumberFormat="1" applyFont="1" applyBorder="1" applyAlignment="1">
      <alignment vertical="center"/>
    </xf>
    <xf numFmtId="3" fontId="7" fillId="0" borderId="0" xfId="0" applyNumberFormat="1" applyFont="1" applyAlignment="1">
      <alignment vertical="center"/>
    </xf>
    <xf numFmtId="3" fontId="7" fillId="0" borderId="10" xfId="1" applyNumberFormat="1" applyFont="1" applyBorder="1" applyAlignment="1">
      <alignment vertical="center"/>
    </xf>
    <xf numFmtId="164" fontId="7" fillId="0" borderId="0" xfId="1" applyNumberFormat="1" applyFont="1" applyAlignment="1">
      <alignment vertical="center"/>
    </xf>
    <xf numFmtId="3" fontId="0" fillId="0" borderId="5" xfId="0" applyNumberFormat="1" applyFont="1" applyBorder="1" applyAlignment="1">
      <alignment vertical="center"/>
    </xf>
    <xf numFmtId="3" fontId="7" fillId="0" borderId="15" xfId="0" applyNumberFormat="1" applyFont="1" applyBorder="1" applyAlignment="1">
      <alignment vertical="center"/>
    </xf>
    <xf numFmtId="3" fontId="3" fillId="0" borderId="10" xfId="0" applyNumberFormat="1" applyFont="1" applyBorder="1" applyAlignment="1">
      <alignment vertical="center"/>
    </xf>
    <xf numFmtId="3" fontId="3" fillId="0" borderId="9" xfId="0" applyNumberFormat="1" applyFont="1" applyFill="1" applyBorder="1" applyAlignment="1">
      <alignment vertical="center"/>
    </xf>
    <xf numFmtId="3" fontId="3" fillId="0" borderId="21" xfId="0" applyNumberFormat="1" applyFont="1" applyFill="1" applyBorder="1" applyAlignment="1">
      <alignment vertical="center"/>
    </xf>
    <xf numFmtId="3" fontId="3" fillId="0" borderId="10" xfId="0" applyNumberFormat="1" applyFont="1" applyFill="1" applyBorder="1" applyAlignment="1">
      <alignment vertical="center"/>
    </xf>
    <xf numFmtId="3" fontId="3" fillId="0" borderId="15" xfId="0" applyNumberFormat="1" applyFont="1" applyFill="1" applyBorder="1" applyAlignment="1">
      <alignment vertical="center"/>
    </xf>
    <xf numFmtId="3" fontId="0" fillId="0" borderId="6" xfId="0" applyNumberFormat="1" applyFont="1" applyBorder="1" applyAlignment="1">
      <alignment vertical="center"/>
    </xf>
    <xf numFmtId="4" fontId="10" fillId="0" borderId="5" xfId="0" applyNumberFormat="1" applyFont="1" applyBorder="1" applyAlignment="1">
      <alignment vertical="center"/>
    </xf>
    <xf numFmtId="4" fontId="10" fillId="0" borderId="10" xfId="0" applyNumberFormat="1" applyFont="1" applyBorder="1" applyAlignment="1">
      <alignment vertical="center"/>
    </xf>
    <xf numFmtId="4" fontId="10" fillId="0" borderId="9" xfId="0" applyNumberFormat="1" applyFont="1" applyFill="1" applyBorder="1" applyAlignment="1">
      <alignment vertical="center"/>
    </xf>
    <xf numFmtId="4" fontId="10" fillId="0" borderId="21" xfId="0" applyNumberFormat="1" applyFont="1" applyFill="1" applyBorder="1" applyAlignment="1">
      <alignment vertical="center"/>
    </xf>
    <xf numFmtId="4" fontId="10" fillId="0" borderId="6" xfId="0" applyNumberFormat="1" applyFont="1" applyFill="1" applyBorder="1" applyAlignment="1">
      <alignment vertical="center"/>
    </xf>
    <xf numFmtId="4" fontId="10" fillId="0" borderId="15" xfId="0" applyNumberFormat="1" applyFont="1" applyFill="1" applyBorder="1" applyAlignment="1">
      <alignment vertical="center"/>
    </xf>
    <xf numFmtId="4" fontId="10" fillId="0" borderId="10" xfId="0" applyNumberFormat="1" applyFont="1" applyFill="1" applyBorder="1" applyAlignment="1">
      <alignment vertical="center"/>
    </xf>
    <xf numFmtId="4" fontId="10" fillId="0" borderId="0" xfId="0" applyNumberFormat="1" applyFont="1" applyAlignment="1">
      <alignment vertical="center"/>
    </xf>
    <xf numFmtId="4" fontId="9" fillId="0" borderId="5" xfId="0" applyNumberFormat="1" applyFont="1" applyBorder="1" applyAlignment="1">
      <alignment vertical="center"/>
    </xf>
    <xf numFmtId="4" fontId="9" fillId="0" borderId="9" xfId="0" applyNumberFormat="1" applyFont="1" applyFill="1" applyBorder="1" applyAlignment="1">
      <alignment vertical="center"/>
    </xf>
    <xf numFmtId="4" fontId="9" fillId="0" borderId="20" xfId="0" applyNumberFormat="1" applyFont="1" applyFill="1" applyBorder="1" applyAlignment="1">
      <alignment vertical="center"/>
    </xf>
    <xf numFmtId="4" fontId="9" fillId="0" borderId="10" xfId="0" applyNumberFormat="1" applyFont="1" applyFill="1" applyBorder="1" applyAlignment="1">
      <alignment vertical="center"/>
    </xf>
    <xf numFmtId="4" fontId="9" fillId="0" borderId="10" xfId="0" applyNumberFormat="1" applyFont="1" applyBorder="1" applyAlignment="1">
      <alignment vertical="center"/>
    </xf>
    <xf numFmtId="4" fontId="9" fillId="0" borderId="21" xfId="0" applyNumberFormat="1" applyFont="1" applyFill="1" applyBorder="1" applyAlignment="1">
      <alignment vertical="center"/>
    </xf>
    <xf numFmtId="4" fontId="9" fillId="0" borderId="15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8" fillId="2" borderId="0" xfId="0" applyFont="1" applyFill="1" applyBorder="1" applyAlignment="1">
      <alignment vertical="center" wrapText="1"/>
    </xf>
    <xf numFmtId="0" fontId="0" fillId="0" borderId="13" xfId="0" applyBorder="1" applyAlignment="1">
      <alignment vertical="center"/>
    </xf>
    <xf numFmtId="0" fontId="0" fillId="3" borderId="2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/>
    </xf>
    <xf numFmtId="0" fontId="0" fillId="0" borderId="6" xfId="0" applyBorder="1" applyAlignment="1">
      <alignment vertical="center"/>
    </xf>
    <xf numFmtId="3" fontId="0" fillId="0" borderId="1" xfId="0" applyNumberFormat="1" applyFont="1" applyFill="1" applyBorder="1" applyAlignment="1">
      <alignment vertical="center" wrapText="1"/>
    </xf>
    <xf numFmtId="3" fontId="0" fillId="0" borderId="2" xfId="0" applyNumberFormat="1" applyFill="1" applyBorder="1" applyAlignment="1">
      <alignment vertical="center"/>
    </xf>
    <xf numFmtId="3" fontId="0" fillId="0" borderId="2" xfId="0" applyNumberFormat="1" applyBorder="1" applyAlignment="1">
      <alignment vertical="center"/>
    </xf>
    <xf numFmtId="2" fontId="9" fillId="0" borderId="12" xfId="0" applyNumberFormat="1" applyFont="1" applyFill="1" applyBorder="1" applyAlignment="1">
      <alignment horizontal="left" vertical="center" wrapText="1" indent="1"/>
    </xf>
    <xf numFmtId="2" fontId="9" fillId="0" borderId="13" xfId="0" applyNumberFormat="1" applyFont="1" applyFill="1" applyBorder="1" applyAlignment="1">
      <alignment vertical="center"/>
    </xf>
    <xf numFmtId="2" fontId="9" fillId="0" borderId="16" xfId="0" applyNumberFormat="1" applyFont="1" applyFill="1" applyBorder="1" applyAlignment="1">
      <alignment vertical="center"/>
    </xf>
    <xf numFmtId="2" fontId="9" fillId="0" borderId="13" xfId="0" applyNumberFormat="1" applyFont="1" applyBorder="1" applyAlignment="1">
      <alignment vertical="center"/>
    </xf>
    <xf numFmtId="2" fontId="9" fillId="0" borderId="16" xfId="0" applyNumberFormat="1" applyFont="1" applyBorder="1" applyAlignment="1">
      <alignment vertical="center"/>
    </xf>
    <xf numFmtId="2" fontId="9" fillId="0" borderId="15" xfId="0" applyNumberFormat="1" applyFont="1" applyBorder="1" applyAlignment="1">
      <alignment vertical="center"/>
    </xf>
    <xf numFmtId="2" fontId="9" fillId="0" borderId="0" xfId="0" applyNumberFormat="1" applyFont="1" applyAlignment="1">
      <alignment vertical="center"/>
    </xf>
    <xf numFmtId="3" fontId="0" fillId="3" borderId="5" xfId="0" applyNumberFormat="1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6" xfId="0" applyFill="1" applyBorder="1" applyAlignment="1">
      <alignment vertical="center"/>
    </xf>
    <xf numFmtId="0" fontId="0" fillId="0" borderId="2" xfId="0" applyBorder="1" applyAlignment="1">
      <alignment vertical="center"/>
    </xf>
    <xf numFmtId="3" fontId="0" fillId="0" borderId="15" xfId="0" applyNumberFormat="1" applyBorder="1" applyAlignment="1">
      <alignment vertical="center"/>
    </xf>
    <xf numFmtId="3" fontId="0" fillId="0" borderId="15" xfId="0" applyNumberFormat="1" applyFill="1" applyBorder="1" applyAlignment="1">
      <alignment vertical="center"/>
    </xf>
    <xf numFmtId="2" fontId="9" fillId="0" borderId="15" xfId="0" applyNumberFormat="1" applyFont="1" applyFill="1" applyBorder="1" applyAlignment="1">
      <alignment vertical="center"/>
    </xf>
    <xf numFmtId="2" fontId="9" fillId="0" borderId="6" xfId="0" applyNumberFormat="1" applyFont="1" applyFill="1" applyBorder="1" applyAlignment="1">
      <alignment vertical="center"/>
    </xf>
    <xf numFmtId="3" fontId="0" fillId="0" borderId="0" xfId="0" applyNumberFormat="1" applyFill="1" applyAlignment="1">
      <alignment vertical="center"/>
    </xf>
    <xf numFmtId="3" fontId="3" fillId="3" borderId="1" xfId="0" applyNumberFormat="1" applyFont="1" applyFill="1" applyBorder="1" applyAlignment="1">
      <alignment vertical="center" wrapText="1"/>
    </xf>
    <xf numFmtId="3" fontId="3" fillId="0" borderId="2" xfId="0" applyNumberFormat="1" applyFont="1" applyFill="1" applyBorder="1" applyAlignment="1">
      <alignment vertical="center"/>
    </xf>
    <xf numFmtId="3" fontId="3" fillId="0" borderId="6" xfId="0" applyNumberFormat="1" applyFont="1" applyBorder="1" applyAlignment="1">
      <alignment vertical="center"/>
    </xf>
    <xf numFmtId="3" fontId="5" fillId="0" borderId="1" xfId="0" applyNumberFormat="1" applyFont="1" applyFill="1" applyBorder="1" applyAlignment="1">
      <alignment vertical="center" wrapText="1"/>
    </xf>
    <xf numFmtId="3" fontId="5" fillId="0" borderId="2" xfId="0" applyNumberFormat="1" applyFont="1" applyFill="1" applyBorder="1" applyAlignment="1">
      <alignment vertical="center"/>
    </xf>
    <xf numFmtId="3" fontId="5" fillId="2" borderId="2" xfId="0" applyNumberFormat="1" applyFont="1" applyFill="1" applyBorder="1" applyAlignment="1">
      <alignment vertical="center"/>
    </xf>
    <xf numFmtId="3" fontId="5" fillId="0" borderId="2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3" fontId="3" fillId="0" borderId="17" xfId="0" applyNumberFormat="1" applyFont="1" applyFill="1" applyBorder="1" applyAlignment="1">
      <alignment vertical="center" wrapText="1"/>
    </xf>
    <xf numFmtId="3" fontId="3" fillId="0" borderId="11" xfId="0" applyNumberFormat="1" applyFont="1" applyFill="1" applyBorder="1" applyAlignment="1">
      <alignment horizontal="left" vertical="center" wrapText="1" indent="1"/>
    </xf>
    <xf numFmtId="2" fontId="10" fillId="0" borderId="12" xfId="0" applyNumberFormat="1" applyFont="1" applyFill="1" applyBorder="1" applyAlignment="1">
      <alignment horizontal="left" vertical="center" wrapText="1" indent="1"/>
    </xf>
    <xf numFmtId="2" fontId="10" fillId="0" borderId="13" xfId="0" applyNumberFormat="1" applyFont="1" applyFill="1" applyBorder="1" applyAlignment="1">
      <alignment vertical="center"/>
    </xf>
    <xf numFmtId="2" fontId="10" fillId="0" borderId="16" xfId="0" applyNumberFormat="1" applyFont="1" applyFill="1" applyBorder="1" applyAlignment="1">
      <alignment vertical="center"/>
    </xf>
    <xf numFmtId="2" fontId="10" fillId="0" borderId="13" xfId="0" applyNumberFormat="1" applyFont="1" applyBorder="1" applyAlignment="1">
      <alignment vertical="center"/>
    </xf>
    <xf numFmtId="2" fontId="10" fillId="0" borderId="0" xfId="0" applyNumberFormat="1" applyFont="1" applyAlignment="1">
      <alignment vertical="center"/>
    </xf>
    <xf numFmtId="0" fontId="11" fillId="0" borderId="0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vertical="center" wrapText="1"/>
    </xf>
    <xf numFmtId="3" fontId="0" fillId="2" borderId="1" xfId="0" applyNumberFormat="1" applyFont="1" applyFill="1" applyBorder="1" applyAlignment="1">
      <alignment vertical="center" wrapText="1"/>
    </xf>
    <xf numFmtId="3" fontId="0" fillId="2" borderId="8" xfId="0" applyNumberFormat="1" applyFont="1" applyFill="1" applyBorder="1" applyAlignment="1">
      <alignment vertical="center" wrapText="1"/>
    </xf>
    <xf numFmtId="0" fontId="9" fillId="0" borderId="12" xfId="0" applyFont="1" applyFill="1" applyBorder="1" applyAlignment="1">
      <alignment horizontal="left" vertical="center" wrapText="1" indent="1"/>
    </xf>
    <xf numFmtId="3" fontId="3" fillId="0" borderId="7" xfId="0" applyNumberFormat="1" applyFont="1" applyFill="1" applyBorder="1" applyAlignment="1">
      <alignment horizontal="right" vertical="center"/>
    </xf>
    <xf numFmtId="3" fontId="3" fillId="0" borderId="4" xfId="0" applyNumberFormat="1" applyFont="1" applyFill="1" applyBorder="1" applyAlignment="1">
      <alignment horizontal="right" vertical="center"/>
    </xf>
    <xf numFmtId="4" fontId="10" fillId="0" borderId="12" xfId="0" applyNumberFormat="1" applyFont="1" applyFill="1" applyBorder="1" applyAlignment="1">
      <alignment horizontal="left" vertical="center" wrapText="1" indent="1"/>
    </xf>
    <xf numFmtId="4" fontId="10" fillId="0" borderId="13" xfId="0" applyNumberFormat="1" applyFont="1" applyFill="1" applyBorder="1" applyAlignment="1">
      <alignment vertical="center"/>
    </xf>
    <xf numFmtId="4" fontId="10" fillId="0" borderId="16" xfId="0" applyNumberFormat="1" applyFont="1" applyBorder="1" applyAlignment="1">
      <alignment vertical="center"/>
    </xf>
    <xf numFmtId="4" fontId="10" fillId="0" borderId="13" xfId="0" applyNumberFormat="1" applyFont="1" applyBorder="1" applyAlignment="1">
      <alignment vertical="center"/>
    </xf>
    <xf numFmtId="4" fontId="10" fillId="0" borderId="16" xfId="0" applyNumberFormat="1" applyFont="1" applyFill="1" applyBorder="1" applyAlignment="1">
      <alignment vertical="center"/>
    </xf>
    <xf numFmtId="0" fontId="12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7" fillId="0" borderId="0" xfId="0" applyFont="1" applyFill="1" applyAlignment="1">
      <alignment vertical="top" wrapText="1"/>
    </xf>
    <xf numFmtId="0" fontId="7" fillId="0" borderId="0" xfId="0" applyFont="1" applyFill="1" applyAlignment="1">
      <alignment horizontal="left" vertical="top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3" fillId="0" borderId="1" xfId="0" applyFont="1" applyFill="1" applyBorder="1" applyAlignment="1">
      <alignment horizontal="center" vertical="center" wrapText="1"/>
    </xf>
    <xf numFmtId="2" fontId="9" fillId="0" borderId="14" xfId="0" applyNumberFormat="1" applyFont="1" applyFill="1" applyBorder="1" applyAlignment="1">
      <alignment vertical="center"/>
    </xf>
    <xf numFmtId="2" fontId="9" fillId="0" borderId="12" xfId="0" applyNumberFormat="1" applyFont="1" applyFill="1" applyBorder="1" applyAlignment="1">
      <alignment vertical="center"/>
    </xf>
    <xf numFmtId="2" fontId="9" fillId="0" borderId="6" xfId="0" applyNumberFormat="1" applyFont="1" applyBorder="1" applyAlignment="1">
      <alignment vertical="center"/>
    </xf>
    <xf numFmtId="3" fontId="0" fillId="0" borderId="0" xfId="0" applyNumberForma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5" xfId="0" applyFont="1" applyFill="1" applyBorder="1" applyAlignment="1">
      <alignment vertical="center" wrapText="1"/>
    </xf>
    <xf numFmtId="3" fontId="0" fillId="3" borderId="2" xfId="0" applyNumberFormat="1" applyFill="1" applyBorder="1" applyAlignment="1">
      <alignment vertical="center"/>
    </xf>
    <xf numFmtId="3" fontId="3" fillId="3" borderId="2" xfId="0" applyNumberFormat="1" applyFont="1" applyFill="1" applyBorder="1" applyAlignment="1">
      <alignment vertical="center"/>
    </xf>
    <xf numFmtId="3" fontId="0" fillId="3" borderId="4" xfId="0" applyNumberFormat="1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11" fillId="0" borderId="12" xfId="0" applyFont="1" applyFill="1" applyBorder="1" applyAlignment="1">
      <alignment horizontal="left" vertical="center" wrapText="1" indent="1"/>
    </xf>
    <xf numFmtId="4" fontId="11" fillId="0" borderId="13" xfId="0" applyNumberFormat="1" applyFont="1" applyBorder="1" applyAlignment="1">
      <alignment vertical="center"/>
    </xf>
    <xf numFmtId="4" fontId="0" fillId="0" borderId="0" xfId="0" applyNumberFormat="1" applyAlignment="1">
      <alignment vertical="center"/>
    </xf>
    <xf numFmtId="3" fontId="13" fillId="0" borderId="7" xfId="0" applyNumberFormat="1" applyFont="1" applyBorder="1" applyAlignment="1">
      <alignment vertical="center"/>
    </xf>
    <xf numFmtId="4" fontId="2" fillId="0" borderId="12" xfId="0" applyNumberFormat="1" applyFont="1" applyFill="1" applyBorder="1" applyAlignment="1">
      <alignment horizontal="left" vertical="center" wrapText="1" indent="1"/>
    </xf>
    <xf numFmtId="4" fontId="2" fillId="0" borderId="13" xfId="0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top" wrapText="1"/>
    </xf>
    <xf numFmtId="3" fontId="5" fillId="0" borderId="0" xfId="0" applyNumberFormat="1" applyFont="1" applyAlignment="1">
      <alignment horizontal="right" vertical="center"/>
    </xf>
    <xf numFmtId="0" fontId="12" fillId="0" borderId="0" xfId="0" applyFont="1" applyFill="1" applyAlignment="1">
      <alignment horizontal="right" vertical="center"/>
    </xf>
    <xf numFmtId="3" fontId="7" fillId="0" borderId="10" xfId="0" applyNumberFormat="1" applyFont="1" applyBorder="1" applyAlignment="1">
      <alignment vertical="center" wrapText="1"/>
    </xf>
    <xf numFmtId="3" fontId="3" fillId="0" borderId="5" xfId="0" applyNumberFormat="1" applyFont="1" applyBorder="1" applyAlignment="1">
      <alignment vertical="center"/>
    </xf>
    <xf numFmtId="3" fontId="7" fillId="0" borderId="15" xfId="0" applyNumberFormat="1" applyFont="1" applyBorder="1" applyAlignment="1">
      <alignment vertical="center" wrapText="1"/>
    </xf>
    <xf numFmtId="3" fontId="7" fillId="0" borderId="11" xfId="0" applyNumberFormat="1" applyFont="1" applyBorder="1" applyAlignment="1">
      <alignment vertical="center"/>
    </xf>
    <xf numFmtId="3" fontId="7" fillId="0" borderId="23" xfId="0" applyNumberFormat="1" applyFont="1" applyFill="1" applyBorder="1" applyAlignment="1">
      <alignment vertical="center"/>
    </xf>
    <xf numFmtId="3" fontId="7" fillId="0" borderId="24" xfId="0" applyNumberFormat="1" applyFont="1" applyFill="1" applyBorder="1" applyAlignment="1">
      <alignment vertical="center"/>
    </xf>
    <xf numFmtId="4" fontId="9" fillId="0" borderId="15" xfId="0" applyNumberFormat="1" applyFont="1" applyBorder="1" applyAlignment="1">
      <alignment vertical="center" wrapText="1"/>
    </xf>
    <xf numFmtId="4" fontId="9" fillId="0" borderId="9" xfId="0" applyNumberFormat="1" applyFont="1" applyBorder="1" applyAlignment="1">
      <alignment vertical="center"/>
    </xf>
    <xf numFmtId="4" fontId="9" fillId="0" borderId="25" xfId="0" applyNumberFormat="1" applyFont="1" applyBorder="1" applyAlignment="1">
      <alignment vertical="center"/>
    </xf>
    <xf numFmtId="3" fontId="0" fillId="0" borderId="17" xfId="0" applyNumberFormat="1" applyFill="1" applyBorder="1" applyAlignment="1">
      <alignment vertical="center"/>
    </xf>
    <xf numFmtId="3" fontId="0" fillId="0" borderId="5" xfId="0" applyNumberFormat="1" applyFill="1" applyBorder="1" applyAlignment="1">
      <alignment vertical="center"/>
    </xf>
    <xf numFmtId="3" fontId="0" fillId="0" borderId="26" xfId="0" applyNumberFormat="1" applyFill="1" applyBorder="1" applyAlignment="1">
      <alignment vertical="center"/>
    </xf>
    <xf numFmtId="3" fontId="0" fillId="0" borderId="1" xfId="0" applyNumberFormat="1" applyFill="1" applyBorder="1" applyAlignment="1">
      <alignment vertical="center"/>
    </xf>
    <xf numFmtId="3" fontId="0" fillId="0" borderId="27" xfId="0" applyNumberFormat="1" applyFill="1" applyBorder="1" applyAlignment="1">
      <alignment vertical="center"/>
    </xf>
    <xf numFmtId="3" fontId="0" fillId="0" borderId="8" xfId="0" applyNumberFormat="1" applyFill="1" applyBorder="1" applyAlignment="1">
      <alignment vertical="center"/>
    </xf>
    <xf numFmtId="3" fontId="0" fillId="0" borderId="28" xfId="0" applyNumberFormat="1" applyBorder="1" applyAlignment="1">
      <alignment vertical="center"/>
    </xf>
    <xf numFmtId="3" fontId="0" fillId="0" borderId="29" xfId="0" applyNumberFormat="1" applyBorder="1" applyAlignment="1">
      <alignment vertical="center"/>
    </xf>
    <xf numFmtId="4" fontId="9" fillId="0" borderId="24" xfId="0" applyNumberFormat="1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5" fillId="0" borderId="1" xfId="0" applyNumberFormat="1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3" fontId="3" fillId="0" borderId="17" xfId="0" applyNumberFormat="1" applyFont="1" applyFill="1" applyBorder="1" applyAlignment="1">
      <alignment vertical="center"/>
    </xf>
    <xf numFmtId="3" fontId="3" fillId="0" borderId="11" xfId="0" applyNumberFormat="1" applyFont="1" applyFill="1" applyBorder="1" applyAlignment="1">
      <alignment vertical="center"/>
    </xf>
    <xf numFmtId="4" fontId="10" fillId="0" borderId="12" xfId="0" applyNumberFormat="1" applyFont="1" applyFill="1" applyBorder="1" applyAlignment="1">
      <alignment vertical="center"/>
    </xf>
    <xf numFmtId="3" fontId="0" fillId="0" borderId="23" xfId="0" applyNumberFormat="1" applyBorder="1" applyAlignment="1">
      <alignment vertical="center"/>
    </xf>
    <xf numFmtId="3" fontId="0" fillId="0" borderId="26" xfId="0" applyNumberFormat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DI90"/>
  <sheetViews>
    <sheetView tabSelected="1" zoomScale="80" zoomScaleNormal="80" workbookViewId="0">
      <pane xSplit="1" ySplit="4" topLeftCell="B5" activePane="bottomRight" state="frozenSplit"/>
      <selection activeCell="M3" sqref="M3:DG3"/>
      <selection pane="topRight" activeCell="M3" sqref="M3:DG3"/>
      <selection pane="bottomLeft" activeCell="M3" sqref="M3:DG3"/>
      <selection pane="bottomRight" activeCell="B4" sqref="B4"/>
    </sheetView>
  </sheetViews>
  <sheetFormatPr defaultColWidth="8.88671875" defaultRowHeight="14.4" outlineLevelCol="1" x14ac:dyDescent="0.3"/>
  <cols>
    <col min="1" max="1" width="54.6640625" style="1" customWidth="1"/>
    <col min="2" max="4" width="13.109375" style="4" customWidth="1" outlineLevel="1"/>
    <col min="5" max="5" width="13.109375" style="30" customWidth="1" outlineLevel="1"/>
    <col min="6" max="12" width="13.109375" style="4" customWidth="1" outlineLevel="1"/>
    <col min="13" max="13" width="13.109375" style="4" customWidth="1"/>
    <col min="14" max="24" width="13.109375" style="4" customWidth="1" outlineLevel="1"/>
    <col min="25" max="25" width="13.109375" style="4" customWidth="1"/>
    <col min="26" max="36" width="13.109375" style="4" customWidth="1" outlineLevel="1"/>
    <col min="37" max="37" width="13.109375" style="4" customWidth="1"/>
    <col min="38" max="48" width="13.109375" style="4" hidden="1" customWidth="1" outlineLevel="1"/>
    <col min="49" max="49" width="13.109375" style="4" customWidth="1" collapsed="1"/>
    <col min="50" max="60" width="13.109375" style="4" hidden="1" customWidth="1" outlineLevel="1"/>
    <col min="61" max="61" width="13.109375" style="4" customWidth="1" collapsed="1"/>
    <col min="62" max="72" width="13.109375" style="4" hidden="1" customWidth="1" outlineLevel="1"/>
    <col min="73" max="73" width="13.109375" style="4" customWidth="1" collapsed="1"/>
    <col min="74" max="84" width="13.109375" style="4" hidden="1" customWidth="1" outlineLevel="1"/>
    <col min="85" max="85" width="13.109375" style="4" customWidth="1" collapsed="1"/>
    <col min="86" max="96" width="13.109375" style="4" hidden="1" customWidth="1" outlineLevel="1"/>
    <col min="97" max="97" width="13.109375" style="4" customWidth="1" collapsed="1"/>
    <col min="98" max="108" width="13.109375" style="4" hidden="1" customWidth="1" outlineLevel="1"/>
    <col min="109" max="109" width="13.109375" style="4" customWidth="1" collapsed="1"/>
    <col min="110" max="110" width="13.109375" style="4" customWidth="1"/>
    <col min="111" max="111" width="13.109375" style="2" customWidth="1"/>
    <col min="112" max="16384" width="8.88671875" style="4"/>
  </cols>
  <sheetData>
    <row r="1" spans="1:111" x14ac:dyDescent="0.3">
      <c r="A1" s="1" t="s">
        <v>0</v>
      </c>
      <c r="B1" s="2"/>
      <c r="C1" s="2"/>
      <c r="D1" s="2"/>
      <c r="E1" s="3"/>
      <c r="F1" s="2"/>
      <c r="G1" s="2"/>
      <c r="H1" s="2"/>
      <c r="I1" s="3"/>
      <c r="J1" s="3"/>
      <c r="K1" s="3"/>
      <c r="L1" s="3"/>
      <c r="DC1" s="3"/>
      <c r="DD1" s="3"/>
      <c r="DE1" s="3"/>
      <c r="DF1" s="3"/>
      <c r="DG1" s="3" t="s">
        <v>1</v>
      </c>
    </row>
    <row r="2" spans="1:111" s="10" customFormat="1" x14ac:dyDescent="0.3">
      <c r="A2" s="5"/>
      <c r="B2" s="6"/>
      <c r="C2" s="6"/>
      <c r="D2" s="6"/>
      <c r="E2" s="7"/>
      <c r="F2" s="7"/>
      <c r="G2" s="7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9"/>
      <c r="DD2" s="9"/>
      <c r="DE2" s="9"/>
      <c r="DF2" s="9"/>
      <c r="DG2" s="9"/>
    </row>
    <row r="3" spans="1:111" s="1" customFormat="1" x14ac:dyDescent="0.3">
      <c r="A3" s="203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205" t="s">
        <v>47</v>
      </c>
      <c r="N3" s="205"/>
      <c r="O3" s="205"/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  <c r="AC3" s="205"/>
      <c r="AD3" s="205"/>
      <c r="AE3" s="205"/>
      <c r="AF3" s="205"/>
      <c r="AG3" s="205"/>
      <c r="AH3" s="205"/>
      <c r="AI3" s="205"/>
      <c r="AJ3" s="205"/>
      <c r="AK3" s="205"/>
      <c r="AL3" s="205"/>
      <c r="AM3" s="205"/>
      <c r="AN3" s="205"/>
      <c r="AO3" s="205"/>
      <c r="AP3" s="205"/>
      <c r="AQ3" s="205"/>
      <c r="AR3" s="205"/>
      <c r="AS3" s="205"/>
      <c r="AT3" s="205"/>
      <c r="AU3" s="205"/>
      <c r="AV3" s="205"/>
      <c r="AW3" s="205"/>
      <c r="AX3" s="205"/>
      <c r="AY3" s="205"/>
      <c r="AZ3" s="205"/>
      <c r="BA3" s="205"/>
      <c r="BB3" s="205"/>
      <c r="BC3" s="205"/>
      <c r="BD3" s="205"/>
      <c r="BE3" s="205"/>
      <c r="BF3" s="205"/>
      <c r="BG3" s="205"/>
      <c r="BH3" s="205"/>
      <c r="BI3" s="205"/>
      <c r="BJ3" s="205"/>
      <c r="BK3" s="205"/>
      <c r="BL3" s="205"/>
      <c r="BM3" s="205"/>
      <c r="BN3" s="205"/>
      <c r="BO3" s="205"/>
      <c r="BP3" s="205"/>
      <c r="BQ3" s="205"/>
      <c r="BR3" s="205"/>
      <c r="BS3" s="205"/>
      <c r="BT3" s="205"/>
      <c r="BU3" s="205"/>
      <c r="BV3" s="205"/>
      <c r="BW3" s="205"/>
      <c r="BX3" s="205"/>
      <c r="BY3" s="205"/>
      <c r="BZ3" s="205"/>
      <c r="CA3" s="205"/>
      <c r="CB3" s="205"/>
      <c r="CC3" s="205"/>
      <c r="CD3" s="205"/>
      <c r="CE3" s="205"/>
      <c r="CF3" s="205"/>
      <c r="CG3" s="205"/>
      <c r="CH3" s="205"/>
      <c r="CI3" s="205"/>
      <c r="CJ3" s="205"/>
      <c r="CK3" s="205"/>
      <c r="CL3" s="205"/>
      <c r="CM3" s="205"/>
      <c r="CN3" s="205"/>
      <c r="CO3" s="205"/>
      <c r="CP3" s="205"/>
      <c r="CQ3" s="205"/>
      <c r="CR3" s="205"/>
      <c r="CS3" s="205"/>
      <c r="CT3" s="205"/>
      <c r="CU3" s="205"/>
      <c r="CV3" s="205"/>
      <c r="CW3" s="205"/>
      <c r="CX3" s="205"/>
      <c r="CY3" s="205"/>
      <c r="CZ3" s="205"/>
      <c r="DA3" s="205"/>
      <c r="DB3" s="205"/>
      <c r="DC3" s="205"/>
      <c r="DD3" s="205"/>
      <c r="DE3" s="205"/>
      <c r="DF3" s="205"/>
      <c r="DG3" s="205"/>
    </row>
    <row r="4" spans="1:111" s="15" customFormat="1" ht="14.4" customHeight="1" x14ac:dyDescent="0.3">
      <c r="A4" s="204"/>
      <c r="B4" s="12" t="s">
        <v>48</v>
      </c>
      <c r="C4" s="13">
        <v>42795</v>
      </c>
      <c r="D4" s="12">
        <v>42826</v>
      </c>
      <c r="E4" s="12">
        <v>42856</v>
      </c>
      <c r="F4" s="12">
        <v>42887</v>
      </c>
      <c r="G4" s="12">
        <v>42917</v>
      </c>
      <c r="H4" s="12">
        <v>42948</v>
      </c>
      <c r="I4" s="12">
        <v>42979</v>
      </c>
      <c r="J4" s="12">
        <v>43009</v>
      </c>
      <c r="K4" s="12">
        <v>43040</v>
      </c>
      <c r="L4" s="12">
        <v>43070</v>
      </c>
      <c r="M4" s="12">
        <v>43101</v>
      </c>
      <c r="N4" s="12">
        <v>43132</v>
      </c>
      <c r="O4" s="12">
        <v>43160</v>
      </c>
      <c r="P4" s="12">
        <v>43191</v>
      </c>
      <c r="Q4" s="12">
        <v>43221</v>
      </c>
      <c r="R4" s="12">
        <v>43252</v>
      </c>
      <c r="S4" s="12">
        <v>43282</v>
      </c>
      <c r="T4" s="12">
        <v>43313</v>
      </c>
      <c r="U4" s="12">
        <v>43344</v>
      </c>
      <c r="V4" s="12">
        <v>43374</v>
      </c>
      <c r="W4" s="12">
        <v>43405</v>
      </c>
      <c r="X4" s="12">
        <v>43435</v>
      </c>
      <c r="Y4" s="12">
        <v>43466</v>
      </c>
      <c r="Z4" s="12">
        <v>43497</v>
      </c>
      <c r="AA4" s="12">
        <v>43525</v>
      </c>
      <c r="AB4" s="12">
        <v>43556</v>
      </c>
      <c r="AC4" s="12">
        <v>43586</v>
      </c>
      <c r="AD4" s="12">
        <v>43617</v>
      </c>
      <c r="AE4" s="12">
        <v>43647</v>
      </c>
      <c r="AF4" s="12">
        <v>43678</v>
      </c>
      <c r="AG4" s="12">
        <v>43709</v>
      </c>
      <c r="AH4" s="12">
        <v>43739</v>
      </c>
      <c r="AI4" s="12">
        <v>43770</v>
      </c>
      <c r="AJ4" s="12">
        <v>43800</v>
      </c>
      <c r="AK4" s="12">
        <v>43831</v>
      </c>
      <c r="AL4" s="12">
        <v>43862</v>
      </c>
      <c r="AM4" s="12">
        <v>43891</v>
      </c>
      <c r="AN4" s="12">
        <v>43922</v>
      </c>
      <c r="AO4" s="12">
        <v>43952</v>
      </c>
      <c r="AP4" s="12">
        <v>43983</v>
      </c>
      <c r="AQ4" s="12">
        <v>44013</v>
      </c>
      <c r="AR4" s="12">
        <v>44044</v>
      </c>
      <c r="AS4" s="12">
        <v>44075</v>
      </c>
      <c r="AT4" s="12">
        <v>44105</v>
      </c>
      <c r="AU4" s="12">
        <v>44136</v>
      </c>
      <c r="AV4" s="12">
        <v>44166</v>
      </c>
      <c r="AW4" s="12">
        <v>44197</v>
      </c>
      <c r="AX4" s="12">
        <v>44228</v>
      </c>
      <c r="AY4" s="12">
        <v>44256</v>
      </c>
      <c r="AZ4" s="12">
        <v>44287</v>
      </c>
      <c r="BA4" s="12">
        <v>44317</v>
      </c>
      <c r="BB4" s="12">
        <v>44348</v>
      </c>
      <c r="BC4" s="12">
        <v>44378</v>
      </c>
      <c r="BD4" s="12">
        <v>44409</v>
      </c>
      <c r="BE4" s="12">
        <v>44440</v>
      </c>
      <c r="BF4" s="12">
        <v>44470</v>
      </c>
      <c r="BG4" s="12">
        <v>44501</v>
      </c>
      <c r="BH4" s="12">
        <v>44531</v>
      </c>
      <c r="BI4" s="12">
        <v>44562</v>
      </c>
      <c r="BJ4" s="12">
        <v>44593</v>
      </c>
      <c r="BK4" s="14">
        <v>44621</v>
      </c>
      <c r="BL4" s="12">
        <v>44652</v>
      </c>
      <c r="BM4" s="12">
        <v>44682</v>
      </c>
      <c r="BN4" s="12">
        <v>44713</v>
      </c>
      <c r="BO4" s="12">
        <v>44743</v>
      </c>
      <c r="BP4" s="12">
        <v>44774</v>
      </c>
      <c r="BQ4" s="12">
        <v>44805</v>
      </c>
      <c r="BR4" s="12">
        <v>44835</v>
      </c>
      <c r="BS4" s="12">
        <v>44866</v>
      </c>
      <c r="BT4" s="12">
        <v>44896</v>
      </c>
      <c r="BU4" s="12">
        <v>44927</v>
      </c>
      <c r="BV4" s="12">
        <v>44958</v>
      </c>
      <c r="BW4" s="12">
        <v>44986</v>
      </c>
      <c r="BX4" s="12">
        <v>45017</v>
      </c>
      <c r="BY4" s="12">
        <v>45047</v>
      </c>
      <c r="BZ4" s="12">
        <v>45078</v>
      </c>
      <c r="CA4" s="12">
        <v>45108</v>
      </c>
      <c r="CB4" s="12">
        <v>45139</v>
      </c>
      <c r="CC4" s="12">
        <v>45170</v>
      </c>
      <c r="CD4" s="12">
        <v>45200</v>
      </c>
      <c r="CE4" s="12">
        <v>45231</v>
      </c>
      <c r="CF4" s="12">
        <v>45261</v>
      </c>
      <c r="CG4" s="12">
        <v>45292</v>
      </c>
      <c r="CH4" s="12">
        <v>45323</v>
      </c>
      <c r="CI4" s="12">
        <v>45352</v>
      </c>
      <c r="CJ4" s="12">
        <v>45383</v>
      </c>
      <c r="CK4" s="12">
        <v>45413</v>
      </c>
      <c r="CL4" s="12">
        <v>45444</v>
      </c>
      <c r="CM4" s="12">
        <v>45474</v>
      </c>
      <c r="CN4" s="12">
        <v>45505</v>
      </c>
      <c r="CO4" s="12">
        <v>45536</v>
      </c>
      <c r="CP4" s="12">
        <v>45566</v>
      </c>
      <c r="CQ4" s="12">
        <v>45597</v>
      </c>
      <c r="CR4" s="12">
        <v>45627</v>
      </c>
      <c r="CS4" s="12">
        <v>45658</v>
      </c>
      <c r="CT4" s="12">
        <v>45689</v>
      </c>
      <c r="CU4" s="12">
        <v>45717</v>
      </c>
      <c r="CV4" s="12">
        <v>45748</v>
      </c>
      <c r="CW4" s="12">
        <v>45778</v>
      </c>
      <c r="CX4" s="12">
        <v>45809</v>
      </c>
      <c r="CY4" s="12">
        <v>45839</v>
      </c>
      <c r="CZ4" s="12">
        <v>45870</v>
      </c>
      <c r="DA4" s="12">
        <v>45901</v>
      </c>
      <c r="DB4" s="12">
        <v>45931</v>
      </c>
      <c r="DC4" s="12">
        <v>45962</v>
      </c>
      <c r="DD4" s="12">
        <v>45992</v>
      </c>
      <c r="DE4" s="12">
        <v>46023</v>
      </c>
      <c r="DF4" s="12">
        <v>46054</v>
      </c>
      <c r="DG4" s="12">
        <v>46082</v>
      </c>
    </row>
    <row r="5" spans="1:111" x14ac:dyDescent="0.3">
      <c r="A5" s="16" t="s">
        <v>4</v>
      </c>
      <c r="B5" s="17"/>
      <c r="C5" s="18"/>
      <c r="D5" s="17"/>
      <c r="E5" s="19"/>
      <c r="F5" s="19"/>
      <c r="G5" s="19"/>
      <c r="H5" s="20"/>
      <c r="I5" s="21"/>
      <c r="J5" s="21"/>
      <c r="K5" s="21"/>
      <c r="L5" s="21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22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</row>
    <row r="6" spans="1:111" s="30" customFormat="1" x14ac:dyDescent="0.3">
      <c r="A6" s="24" t="s">
        <v>5</v>
      </c>
      <c r="B6" s="25">
        <v>657097.90696231066</v>
      </c>
      <c r="C6" s="26">
        <v>860990.53976596973</v>
      </c>
      <c r="D6" s="25">
        <v>853817.43326397974</v>
      </c>
      <c r="E6" s="25">
        <v>827008.43257015187</v>
      </c>
      <c r="F6" s="25">
        <v>843311.12570598221</v>
      </c>
      <c r="G6" s="26">
        <v>843164.42580581794</v>
      </c>
      <c r="H6" s="26">
        <v>842101.50452676066</v>
      </c>
      <c r="I6" s="26">
        <v>843124.02161198074</v>
      </c>
      <c r="J6" s="26">
        <v>858462.79098579788</v>
      </c>
      <c r="K6" s="25">
        <v>870850.43064434</v>
      </c>
      <c r="L6" s="25">
        <v>874643.92354806</v>
      </c>
      <c r="M6" s="27">
        <v>892900.10247050005</v>
      </c>
      <c r="N6" s="27">
        <v>920828.04568055004</v>
      </c>
      <c r="O6" s="27">
        <v>905408.58698112005</v>
      </c>
      <c r="P6" s="28">
        <v>908530.63228566002</v>
      </c>
      <c r="Q6" s="28">
        <v>908922.69117860997</v>
      </c>
      <c r="R6" s="28">
        <v>909932.18840265996</v>
      </c>
      <c r="S6" s="28">
        <v>909155.56118454004</v>
      </c>
      <c r="T6" s="28">
        <v>925448.31802373996</v>
      </c>
      <c r="U6" s="28">
        <v>959733.00655557995</v>
      </c>
      <c r="V6" s="28">
        <v>980026.66355298995</v>
      </c>
      <c r="W6" s="28">
        <v>981724.94085094996</v>
      </c>
      <c r="X6" s="28">
        <v>997762.35757358</v>
      </c>
      <c r="Y6" s="28">
        <v>959601.27491426002</v>
      </c>
      <c r="Z6" s="28">
        <v>944866.73715645005</v>
      </c>
      <c r="AA6" s="28">
        <v>922088.50202214997</v>
      </c>
      <c r="AB6" s="28">
        <v>936472.71545241994</v>
      </c>
      <c r="AC6" s="28">
        <v>929128.32312691002</v>
      </c>
      <c r="AD6" s="28">
        <v>908257.52981713996</v>
      </c>
      <c r="AE6" s="28">
        <v>902861.71114425</v>
      </c>
      <c r="AF6" s="28">
        <v>884064.81612984999</v>
      </c>
      <c r="AG6" s="28">
        <v>887758.73281603004</v>
      </c>
      <c r="AH6" s="28">
        <v>864074.26757310005</v>
      </c>
      <c r="AI6" s="28">
        <v>884599.87748102995</v>
      </c>
      <c r="AJ6" s="28">
        <v>870088.76481328998</v>
      </c>
      <c r="AK6" s="28">
        <v>847258.63861567003</v>
      </c>
      <c r="AL6" s="28">
        <v>848387.60334778996</v>
      </c>
      <c r="AM6" s="28">
        <v>842327.72760999005</v>
      </c>
      <c r="AN6" s="28">
        <v>913220.66815072997</v>
      </c>
      <c r="AO6" s="28">
        <v>885719.30958741996</v>
      </c>
      <c r="AP6" s="28">
        <v>875488.03238824999</v>
      </c>
      <c r="AQ6" s="28">
        <v>849959.96921513998</v>
      </c>
      <c r="AR6" s="28">
        <v>869589.68488217006</v>
      </c>
      <c r="AS6" s="28">
        <v>869270.09486342</v>
      </c>
      <c r="AT6" s="28">
        <v>848457.93705051998</v>
      </c>
      <c r="AU6" s="28">
        <v>829299.97817053006</v>
      </c>
      <c r="AV6" s="28">
        <v>812400.79851492005</v>
      </c>
      <c r="AW6" s="28">
        <v>795405.03158696997</v>
      </c>
      <c r="AX6" s="28">
        <v>796780.88663677999</v>
      </c>
      <c r="AY6" s="28">
        <v>795320.27160773997</v>
      </c>
      <c r="AZ6" s="28">
        <v>792541.90197887004</v>
      </c>
      <c r="BA6" s="28">
        <v>807407.66193423001</v>
      </c>
      <c r="BB6" s="28">
        <v>803581.25013812003</v>
      </c>
      <c r="BC6" s="28">
        <v>809362.86009849003</v>
      </c>
      <c r="BD6" s="28">
        <v>806492.51729207998</v>
      </c>
      <c r="BE6" s="28">
        <v>827583.45989941002</v>
      </c>
      <c r="BF6" s="28">
        <v>825760.83485663997</v>
      </c>
      <c r="BG6" s="28">
        <v>836360.82564214</v>
      </c>
      <c r="BH6" s="28">
        <v>843320.48847961996</v>
      </c>
      <c r="BI6" s="28">
        <v>835658.10169507004</v>
      </c>
      <c r="BJ6" s="28">
        <v>855265.69787138002</v>
      </c>
      <c r="BK6" s="29">
        <v>830990.66790868947</v>
      </c>
      <c r="BL6" s="28">
        <v>832112.29435680003</v>
      </c>
      <c r="BM6" s="28">
        <v>834554.76717214996</v>
      </c>
      <c r="BN6" s="28">
        <v>846775.68969015998</v>
      </c>
      <c r="BO6" s="28">
        <v>843309.84469003999</v>
      </c>
      <c r="BP6" s="28">
        <v>899203.98900947999</v>
      </c>
      <c r="BQ6" s="28">
        <v>893674.46995119995</v>
      </c>
      <c r="BR6" s="28">
        <v>882914.40552609996</v>
      </c>
      <c r="BS6" s="28">
        <v>874447.68850298005</v>
      </c>
      <c r="BT6" s="28">
        <v>870470.41789654002</v>
      </c>
      <c r="BU6" s="28">
        <v>847585.94804506004</v>
      </c>
      <c r="BV6" s="28">
        <v>840328.57756153995</v>
      </c>
      <c r="BW6" s="28">
        <v>830570.88806427002</v>
      </c>
      <c r="BX6" s="28">
        <v>818894.4424999</v>
      </c>
      <c r="BY6" s="28">
        <v>810497.74207653</v>
      </c>
      <c r="BZ6" s="28">
        <v>799388.33422098996</v>
      </c>
      <c r="CA6" s="28">
        <v>799598.10959459003</v>
      </c>
      <c r="CB6" s="28">
        <v>801634.17162975005</v>
      </c>
      <c r="CC6" s="28">
        <v>805818.28478503996</v>
      </c>
      <c r="CD6" s="28">
        <v>809651.51728699997</v>
      </c>
      <c r="CE6" s="28">
        <v>810182.08809564996</v>
      </c>
      <c r="CF6" s="28">
        <v>820728.49405267998</v>
      </c>
      <c r="CG6" s="28">
        <v>828443.79824419005</v>
      </c>
      <c r="CH6" s="28">
        <v>819504.70694131998</v>
      </c>
      <c r="CI6" s="28">
        <v>818805.17019570002</v>
      </c>
      <c r="CJ6" s="28">
        <v>832195.70234743995</v>
      </c>
      <c r="CK6" s="28">
        <v>838173.60584030999</v>
      </c>
      <c r="CL6" s="28">
        <v>851695.28674056998</v>
      </c>
      <c r="CM6" s="26">
        <v>863789.25965261005</v>
      </c>
      <c r="CN6" s="26">
        <v>876819.98401068</v>
      </c>
      <c r="CO6" s="26">
        <v>885144.43824917998</v>
      </c>
      <c r="CP6" s="26">
        <v>896270.05863751995</v>
      </c>
      <c r="CQ6" s="26">
        <v>891996.08307037002</v>
      </c>
      <c r="CR6" s="26">
        <v>905481.72410879994</v>
      </c>
      <c r="CS6" s="26">
        <v>891618.70695477002</v>
      </c>
      <c r="CT6" s="26">
        <v>884962.13355525001</v>
      </c>
      <c r="CU6" s="26">
        <v>898419.83893908001</v>
      </c>
      <c r="CV6" s="26">
        <v>912977.12690596003</v>
      </c>
      <c r="CW6" s="26">
        <v>929024.2030175</v>
      </c>
      <c r="CX6" s="26">
        <v>942329.24343426002</v>
      </c>
      <c r="CY6" s="26">
        <v>959746.20675210003</v>
      </c>
      <c r="CZ6" s="26">
        <v>970685.46092794999</v>
      </c>
      <c r="DA6" s="26">
        <v>989530.75403745996</v>
      </c>
      <c r="DB6" s="26">
        <v>1000984.66253523</v>
      </c>
      <c r="DC6" s="26">
        <v>1027483.51723746</v>
      </c>
      <c r="DD6" s="26">
        <v>1053081.7736927201</v>
      </c>
      <c r="DE6" s="26">
        <v>880337.05203675001</v>
      </c>
      <c r="DF6" s="26">
        <v>887745.76671700005</v>
      </c>
      <c r="DG6" s="26">
        <v>903679.45137795003</v>
      </c>
    </row>
    <row r="7" spans="1:111" s="30" customFormat="1" x14ac:dyDescent="0.3">
      <c r="A7" s="31" t="s">
        <v>6</v>
      </c>
      <c r="B7" s="32">
        <v>345660.86432564008</v>
      </c>
      <c r="C7" s="25">
        <v>477179.55182170001</v>
      </c>
      <c r="D7" s="32">
        <v>469524.04015757982</v>
      </c>
      <c r="E7" s="32">
        <v>471346.01320104918</v>
      </c>
      <c r="F7" s="32">
        <v>477588.58739808004</v>
      </c>
      <c r="G7" s="25">
        <v>492971.99393404985</v>
      </c>
      <c r="H7" s="25">
        <v>497996.34086935018</v>
      </c>
      <c r="I7" s="25">
        <v>490751.95704112999</v>
      </c>
      <c r="J7" s="26">
        <v>495542.14640551002</v>
      </c>
      <c r="K7" s="32">
        <v>495557.49953927001</v>
      </c>
      <c r="L7" s="32">
        <v>493850.49051792</v>
      </c>
      <c r="M7" s="29">
        <v>500263.33413064003</v>
      </c>
      <c r="N7" s="29">
        <v>534786.37295592995</v>
      </c>
      <c r="O7" s="29">
        <v>524506.57767992001</v>
      </c>
      <c r="P7" s="27">
        <v>529364.78068266006</v>
      </c>
      <c r="Q7" s="27">
        <v>527336.71750159003</v>
      </c>
      <c r="R7" s="27">
        <v>527353.72664077999</v>
      </c>
      <c r="S7" s="27">
        <v>525805.82730650005</v>
      </c>
      <c r="T7" s="27">
        <v>530122.65275245998</v>
      </c>
      <c r="U7" s="27">
        <v>551022.42535868997</v>
      </c>
      <c r="V7" s="27">
        <v>558656.93492903002</v>
      </c>
      <c r="W7" s="27">
        <v>563960.33284726006</v>
      </c>
      <c r="X7" s="27">
        <v>561297.87250798999</v>
      </c>
      <c r="Y7" s="27">
        <v>535769.72705352004</v>
      </c>
      <c r="Z7" s="27">
        <v>537722.64918515005</v>
      </c>
      <c r="AA7" s="27">
        <v>514540.05103019002</v>
      </c>
      <c r="AB7" s="27">
        <v>517310.11267033999</v>
      </c>
      <c r="AC7" s="27">
        <v>510083.97098245</v>
      </c>
      <c r="AD7" s="27">
        <v>500469.33429202001</v>
      </c>
      <c r="AE7" s="27">
        <v>494467.66909107001</v>
      </c>
      <c r="AF7" s="27">
        <v>485736.03872499999</v>
      </c>
      <c r="AG7" s="27">
        <v>479385.18284203002</v>
      </c>
      <c r="AH7" s="27">
        <v>464208.02401423</v>
      </c>
      <c r="AI7" s="27">
        <v>473844.01747238002</v>
      </c>
      <c r="AJ7" s="27">
        <v>465836.12862166</v>
      </c>
      <c r="AK7" s="27">
        <v>456074.10207080003</v>
      </c>
      <c r="AL7" s="27">
        <v>467457.89331551001</v>
      </c>
      <c r="AM7" s="27">
        <v>463580.12092886999</v>
      </c>
      <c r="AN7" s="27">
        <v>493920.39733687998</v>
      </c>
      <c r="AO7" s="27">
        <v>483737.91009388998</v>
      </c>
      <c r="AP7" s="27">
        <v>481527.84277923999</v>
      </c>
      <c r="AQ7" s="27">
        <v>455811.11370410997</v>
      </c>
      <c r="AR7" s="27">
        <v>465169.20072117</v>
      </c>
      <c r="AS7" s="27">
        <v>465598.84446155</v>
      </c>
      <c r="AT7" s="27">
        <v>432217.2103113</v>
      </c>
      <c r="AU7" s="27">
        <v>406187.01244025002</v>
      </c>
      <c r="AV7" s="27">
        <v>385550.23667289002</v>
      </c>
      <c r="AW7" s="27">
        <v>371156.56912767998</v>
      </c>
      <c r="AX7" s="27">
        <v>373937.78493407002</v>
      </c>
      <c r="AY7" s="27">
        <v>370141.32230604999</v>
      </c>
      <c r="AZ7" s="27">
        <v>366702.01553595002</v>
      </c>
      <c r="BA7" s="27">
        <v>369614.90889810002</v>
      </c>
      <c r="BB7" s="27">
        <v>354969.53409835999</v>
      </c>
      <c r="BC7" s="27">
        <v>353402.11084285</v>
      </c>
      <c r="BD7" s="27">
        <v>345820.00609515002</v>
      </c>
      <c r="BE7" s="27">
        <v>344989.76794182003</v>
      </c>
      <c r="BF7" s="27">
        <v>327731.00404898002</v>
      </c>
      <c r="BG7" s="27">
        <v>327644.57485510001</v>
      </c>
      <c r="BH7" s="27">
        <v>311595.40819003998</v>
      </c>
      <c r="BI7" s="27">
        <v>301664.59725496999</v>
      </c>
      <c r="BJ7" s="27">
        <v>306500.08986413002</v>
      </c>
      <c r="BK7" s="29">
        <v>261754.08221788012</v>
      </c>
      <c r="BL7" s="27">
        <v>263320.59654157999</v>
      </c>
      <c r="BM7" s="27">
        <v>266780.26743344002</v>
      </c>
      <c r="BN7" s="27">
        <v>274519.27111110999</v>
      </c>
      <c r="BO7" s="27">
        <v>299219.16954044002</v>
      </c>
      <c r="BP7" s="27">
        <v>317676.58666982001</v>
      </c>
      <c r="BQ7" s="27">
        <v>320736.97784665</v>
      </c>
      <c r="BR7" s="27">
        <v>331415.61214854999</v>
      </c>
      <c r="BS7" s="27">
        <v>344489.96478267998</v>
      </c>
      <c r="BT7" s="27">
        <v>352598.26899825002</v>
      </c>
      <c r="BU7" s="27">
        <v>363321.31782443001</v>
      </c>
      <c r="BV7" s="27">
        <v>364374.321971</v>
      </c>
      <c r="BW7" s="27">
        <v>363214.25083634001</v>
      </c>
      <c r="BX7" s="27">
        <v>362672.70843558997</v>
      </c>
      <c r="BY7" s="27">
        <v>364945.18263340998</v>
      </c>
      <c r="BZ7" s="27">
        <v>358023.63489708002</v>
      </c>
      <c r="CA7" s="27">
        <v>357482.12717348</v>
      </c>
      <c r="CB7" s="27">
        <v>364246.28352285997</v>
      </c>
      <c r="CC7" s="27">
        <v>360356.34482031001</v>
      </c>
      <c r="CD7" s="27">
        <v>359265.92850869999</v>
      </c>
      <c r="CE7" s="27">
        <v>362768.52345767</v>
      </c>
      <c r="CF7" s="27">
        <v>361984.45221950999</v>
      </c>
      <c r="CG7" s="27">
        <v>365532.34393318999</v>
      </c>
      <c r="CH7" s="27">
        <v>364184.6412441</v>
      </c>
      <c r="CI7" s="27">
        <v>363772.44866663998</v>
      </c>
      <c r="CJ7" s="27">
        <v>365506.64132523001</v>
      </c>
      <c r="CK7" s="27">
        <v>366271.79359664</v>
      </c>
      <c r="CL7" s="27">
        <v>366883.40688972</v>
      </c>
      <c r="CM7" s="25">
        <v>364944.39219354</v>
      </c>
      <c r="CN7" s="25">
        <v>364460.70463414001</v>
      </c>
      <c r="CO7" s="25">
        <v>365938.95407809998</v>
      </c>
      <c r="CP7" s="25">
        <v>364574.29180817999</v>
      </c>
      <c r="CQ7" s="25">
        <v>365229.04971105</v>
      </c>
      <c r="CR7" s="25">
        <v>364267.61892108002</v>
      </c>
      <c r="CS7" s="25">
        <v>347378.66820925998</v>
      </c>
      <c r="CT7" s="25">
        <v>350597.96328253002</v>
      </c>
      <c r="CU7" s="25">
        <v>349771.81824572</v>
      </c>
      <c r="CV7" s="25">
        <v>338013.07013870002</v>
      </c>
      <c r="CW7" s="25">
        <v>340114.75187232002</v>
      </c>
      <c r="CX7" s="25">
        <v>339146.13098910003</v>
      </c>
      <c r="CY7" s="25">
        <v>340314.10707052</v>
      </c>
      <c r="CZ7" s="25">
        <v>331175.15644112002</v>
      </c>
      <c r="DA7" s="25">
        <v>328903.56876633997</v>
      </c>
      <c r="DB7" s="25">
        <v>325038.53795157</v>
      </c>
      <c r="DC7" s="25">
        <v>324727.14544723002</v>
      </c>
      <c r="DD7" s="25">
        <v>325632.62463778001</v>
      </c>
      <c r="DE7" s="25">
        <v>149569.63478694999</v>
      </c>
      <c r="DF7" s="25">
        <v>150481.92454296001</v>
      </c>
      <c r="DG7" s="25">
        <v>149781.57326830001</v>
      </c>
    </row>
    <row r="8" spans="1:111" s="40" customFormat="1" x14ac:dyDescent="0.3">
      <c r="A8" s="33" t="s">
        <v>7</v>
      </c>
      <c r="B8" s="34">
        <v>52.60416456408926</v>
      </c>
      <c r="C8" s="35">
        <v>55.422159684983839</v>
      </c>
      <c r="D8" s="34">
        <v>54.991151722292642</v>
      </c>
      <c r="E8" s="34">
        <v>56.994100016152707</v>
      </c>
      <c r="F8" s="34">
        <v>56.632549107930288</v>
      </c>
      <c r="G8" s="34">
        <v>58.466887222253618</v>
      </c>
      <c r="H8" s="36">
        <v>59.137329430281838</v>
      </c>
      <c r="I8" s="34">
        <v>58.206378238738168</v>
      </c>
      <c r="J8" s="37">
        <v>57.724359355920896</v>
      </c>
      <c r="K8" s="37">
        <v>56.905007117308102</v>
      </c>
      <c r="L8" s="37">
        <v>56.463033381010398</v>
      </c>
      <c r="M8" s="34">
        <v>56.026797706316501</v>
      </c>
      <c r="N8" s="34">
        <v>58.076681684981601</v>
      </c>
      <c r="O8" s="34">
        <v>57.930373670164599</v>
      </c>
      <c r="P8" s="34">
        <v>58.266035494135899</v>
      </c>
      <c r="Q8" s="34">
        <v>58.017774516970903</v>
      </c>
      <c r="R8" s="34">
        <v>57.9552776967395</v>
      </c>
      <c r="S8" s="34">
        <v>57.834527968065998</v>
      </c>
      <c r="T8" s="34">
        <v>57.282793909498601</v>
      </c>
      <c r="U8" s="34">
        <v>57.414137223046403</v>
      </c>
      <c r="V8" s="34">
        <v>57.004258731458798</v>
      </c>
      <c r="W8" s="34">
        <v>57.445859769888798</v>
      </c>
      <c r="X8" s="34">
        <v>56.255667318717897</v>
      </c>
      <c r="Y8" s="34">
        <v>55.832535977131798</v>
      </c>
      <c r="Z8" s="34">
        <v>56.909893008130602</v>
      </c>
      <c r="AA8" s="34">
        <v>55.801590617581503</v>
      </c>
      <c r="AB8" s="34">
        <v>55.240275998903201</v>
      </c>
      <c r="AC8" s="34">
        <v>54.899195115030203</v>
      </c>
      <c r="AD8" s="34">
        <v>55.102139851544102</v>
      </c>
      <c r="AE8" s="34">
        <v>54.766711555903903</v>
      </c>
      <c r="AF8" s="34">
        <v>54.9434871587126</v>
      </c>
      <c r="AG8" s="34">
        <v>53.999489401967097</v>
      </c>
      <c r="AH8" s="34">
        <v>53.7231626302259</v>
      </c>
      <c r="AI8" s="34">
        <v>53.565914888173999</v>
      </c>
      <c r="AJ8" s="34">
        <v>53.538920103355501</v>
      </c>
      <c r="AK8" s="34">
        <v>53.829383529919099</v>
      </c>
      <c r="AL8" s="34">
        <v>55.099566692263302</v>
      </c>
      <c r="AM8" s="34">
        <v>55.0356002460261</v>
      </c>
      <c r="AN8" s="34">
        <v>54.085547399739397</v>
      </c>
      <c r="AO8" s="34">
        <v>54.615260710441298</v>
      </c>
      <c r="AP8" s="34">
        <v>55.001076538496697</v>
      </c>
      <c r="AQ8" s="34">
        <v>53.627362489201701</v>
      </c>
      <c r="AR8" s="34">
        <v>53.492952918847102</v>
      </c>
      <c r="AS8" s="34">
        <v>53.562045584313502</v>
      </c>
      <c r="AT8" s="34">
        <v>50.9415012149936</v>
      </c>
      <c r="AU8" s="34">
        <v>48.979503573160002</v>
      </c>
      <c r="AV8" s="34">
        <v>47.458131180776903</v>
      </c>
      <c r="AW8" s="34">
        <v>46.662587535706002</v>
      </c>
      <c r="AX8" s="34">
        <v>46.931068654578901</v>
      </c>
      <c r="AY8" s="34">
        <v>46.539907949008899</v>
      </c>
      <c r="AZ8" s="34">
        <v>46.269101308125698</v>
      </c>
      <c r="BA8" s="34">
        <v>45.7779788728594</v>
      </c>
      <c r="BB8" s="34">
        <v>44.173446560300903</v>
      </c>
      <c r="BC8" s="34">
        <v>43.664236186948997</v>
      </c>
      <c r="BD8" s="34">
        <v>42.879505845422202</v>
      </c>
      <c r="BE8" s="34">
        <v>41.686401995486001</v>
      </c>
      <c r="BF8" s="34">
        <v>39.688368618969101</v>
      </c>
      <c r="BG8" s="34">
        <v>39.175026472998802</v>
      </c>
      <c r="BH8" s="34">
        <v>36.948634883969198</v>
      </c>
      <c r="BI8" s="34">
        <v>36.099045368322997</v>
      </c>
      <c r="BJ8" s="34">
        <v>35.836827155229102</v>
      </c>
      <c r="BK8" s="38">
        <v>31.499039920222309</v>
      </c>
      <c r="BL8" s="34">
        <v>31.6448390833018</v>
      </c>
      <c r="BM8" s="34">
        <v>31.966777727172101</v>
      </c>
      <c r="BN8" s="34">
        <v>32.419361402729699</v>
      </c>
      <c r="BO8" s="34">
        <v>35.481522174144501</v>
      </c>
      <c r="BP8" s="34">
        <v>35.328645174245402</v>
      </c>
      <c r="BQ8" s="34">
        <v>35.889687870815401</v>
      </c>
      <c r="BR8" s="34">
        <v>37.536550550567803</v>
      </c>
      <c r="BS8" s="34">
        <v>39.395148424765502</v>
      </c>
      <c r="BT8" s="34">
        <v>40.506634315074201</v>
      </c>
      <c r="BU8" s="34">
        <v>42.865424876665699</v>
      </c>
      <c r="BV8" s="34">
        <v>43.360934246498999</v>
      </c>
      <c r="BW8" s="34">
        <v>43.730674413938097</v>
      </c>
      <c r="BX8" s="34">
        <v>44.288090089906099</v>
      </c>
      <c r="BY8" s="34">
        <v>45.027291710696801</v>
      </c>
      <c r="BZ8" s="34">
        <v>44.787197857468897</v>
      </c>
      <c r="CA8" s="34">
        <v>44.707725404044503</v>
      </c>
      <c r="CB8" s="34">
        <v>45.437968641273699</v>
      </c>
      <c r="CC8" s="34">
        <v>44.719306030197501</v>
      </c>
      <c r="CD8" s="34">
        <v>44.3729086944142</v>
      </c>
      <c r="CE8" s="34">
        <v>44.776171775207303</v>
      </c>
      <c r="CF8" s="34">
        <v>44.1052619523498</v>
      </c>
      <c r="CG8" s="34">
        <v>44.122769065071402</v>
      </c>
      <c r="CH8" s="34">
        <v>44.439603355466403</v>
      </c>
      <c r="CI8" s="34">
        <v>44.427229078157403</v>
      </c>
      <c r="CJ8" s="34">
        <v>43.920755694149399</v>
      </c>
      <c r="CK8" s="34">
        <v>43.698798321075103</v>
      </c>
      <c r="CL8" s="34">
        <v>43.076838935410699</v>
      </c>
      <c r="CM8" s="34">
        <v>42.2492393966915</v>
      </c>
      <c r="CN8" s="34">
        <v>41.566195032080898</v>
      </c>
      <c r="CO8" s="34">
        <v>41.342287005941003</v>
      </c>
      <c r="CP8" s="34">
        <v>40.676834877469197</v>
      </c>
      <c r="CQ8" s="34">
        <v>40.945140527286</v>
      </c>
      <c r="CR8" s="34">
        <v>40.2291519775954</v>
      </c>
      <c r="CS8" s="34">
        <v>38.9604508630932</v>
      </c>
      <c r="CT8" s="34">
        <v>39.617284173960797</v>
      </c>
      <c r="CU8" s="34">
        <v>38.931889422517202</v>
      </c>
      <c r="CV8" s="34">
        <v>37.023169603844501</v>
      </c>
      <c r="CW8" s="34">
        <v>36.609891407308503</v>
      </c>
      <c r="CX8" s="34">
        <v>35.990194865767201</v>
      </c>
      <c r="CY8" s="34">
        <v>35.458760313540097</v>
      </c>
      <c r="CZ8" s="34">
        <v>34.117659094690197</v>
      </c>
      <c r="DA8" s="34">
        <v>33.238337204210701</v>
      </c>
      <c r="DB8" s="34">
        <v>32.4718799515203</v>
      </c>
      <c r="DC8" s="34">
        <v>31.604122109939699</v>
      </c>
      <c r="DD8" s="34">
        <v>30.9218745184357</v>
      </c>
      <c r="DE8" s="34">
        <v>16.990041989134198</v>
      </c>
      <c r="DF8" s="34">
        <v>16.951015728237401</v>
      </c>
      <c r="DG8" s="34">
        <v>16.5746352912982</v>
      </c>
    </row>
    <row r="9" spans="1:111" s="30" customFormat="1" ht="28.8" x14ac:dyDescent="0.3">
      <c r="A9" s="24" t="s">
        <v>8</v>
      </c>
      <c r="B9" s="25">
        <v>156514.07519675992</v>
      </c>
      <c r="C9" s="41">
        <v>162351.95806633</v>
      </c>
      <c r="D9" s="25">
        <v>161878.89018592986</v>
      </c>
      <c r="E9" s="25">
        <v>160520.02010256978</v>
      </c>
      <c r="F9" s="25">
        <v>159815.91160089991</v>
      </c>
      <c r="G9" s="25">
        <v>160092.61674936995</v>
      </c>
      <c r="H9" s="25">
        <v>160488.89028901982</v>
      </c>
      <c r="I9" s="25">
        <v>161991.19790431019</v>
      </c>
      <c r="J9" s="19">
        <v>164771.61376556999</v>
      </c>
      <c r="K9" s="19">
        <v>167390.44505954001</v>
      </c>
      <c r="L9" s="19">
        <v>163953.2289666</v>
      </c>
      <c r="M9" s="42">
        <v>174448.31703419</v>
      </c>
      <c r="N9" s="42">
        <v>186766.63865268999</v>
      </c>
      <c r="O9" s="42">
        <v>184577.56168662</v>
      </c>
      <c r="P9" s="42">
        <v>186312.10871905999</v>
      </c>
      <c r="Q9" s="43">
        <v>187298.67715967001</v>
      </c>
      <c r="R9" s="43">
        <v>190371.52148574</v>
      </c>
      <c r="S9" s="43">
        <v>191018.90504827001</v>
      </c>
      <c r="T9" s="43">
        <v>195226.91193828001</v>
      </c>
      <c r="U9" s="43">
        <v>203559.18708862999</v>
      </c>
      <c r="V9" s="43">
        <v>205399.87264243999</v>
      </c>
      <c r="W9" s="43">
        <v>206328.53106278001</v>
      </c>
      <c r="X9" s="43">
        <v>209422.81052271</v>
      </c>
      <c r="Y9" s="43">
        <v>202202.21258458999</v>
      </c>
      <c r="Z9" s="43">
        <v>204104.42812935999</v>
      </c>
      <c r="AA9" s="43">
        <v>203666.90010604999</v>
      </c>
      <c r="AB9" s="43">
        <v>207314.27804341001</v>
      </c>
      <c r="AC9" s="43">
        <v>205538.90902498999</v>
      </c>
      <c r="AD9" s="43">
        <v>208936.98001540001</v>
      </c>
      <c r="AE9" s="43">
        <v>208917.84911792001</v>
      </c>
      <c r="AF9" s="43">
        <v>209978.93017440999</v>
      </c>
      <c r="AG9" s="43">
        <v>214019.22991525999</v>
      </c>
      <c r="AH9" s="43">
        <v>213205.33582163</v>
      </c>
      <c r="AI9" s="43">
        <v>217884.42172868</v>
      </c>
      <c r="AJ9" s="43">
        <v>218267.66190718999</v>
      </c>
      <c r="AK9" s="43">
        <v>214251.50587898001</v>
      </c>
      <c r="AL9" s="43">
        <v>218716.89462348999</v>
      </c>
      <c r="AM9" s="43">
        <v>219214.84450229001</v>
      </c>
      <c r="AN9" s="43">
        <v>226185.98911272001</v>
      </c>
      <c r="AO9" s="43">
        <v>218245.61353949999</v>
      </c>
      <c r="AP9" s="43">
        <v>218188.78557156</v>
      </c>
      <c r="AQ9" s="43">
        <v>219234.43525459</v>
      </c>
      <c r="AR9" s="43">
        <v>222371.34518870001</v>
      </c>
      <c r="AS9" s="43">
        <v>225015.14426557001</v>
      </c>
      <c r="AT9" s="43">
        <v>223006.42297337999</v>
      </c>
      <c r="AU9" s="43">
        <v>211238.33095522001</v>
      </c>
      <c r="AV9" s="43">
        <v>211915.32954039</v>
      </c>
      <c r="AW9" s="43">
        <v>208383.15775583999</v>
      </c>
      <c r="AX9" s="43">
        <v>209631.63598801001</v>
      </c>
      <c r="AY9" s="43">
        <v>210804.90835640999</v>
      </c>
      <c r="AZ9" s="43">
        <v>215291.81482673</v>
      </c>
      <c r="BA9" s="43">
        <v>218678.33401071999</v>
      </c>
      <c r="BB9" s="43">
        <v>224478.24219789999</v>
      </c>
      <c r="BC9" s="43">
        <v>229139.18246126999</v>
      </c>
      <c r="BD9" s="43">
        <v>232946.95043595001</v>
      </c>
      <c r="BE9" s="43">
        <v>238463.09553227</v>
      </c>
      <c r="BF9" s="43">
        <v>242122.0580247</v>
      </c>
      <c r="BG9" s="43">
        <v>244590.44743381999</v>
      </c>
      <c r="BH9" s="43">
        <v>252567.84350953999</v>
      </c>
      <c r="BI9" s="43">
        <v>256291.10922997</v>
      </c>
      <c r="BJ9" s="43">
        <v>264403.64047325001</v>
      </c>
      <c r="BK9" s="42">
        <v>269761.41127409035</v>
      </c>
      <c r="BL9" s="43">
        <v>265118.21572908998</v>
      </c>
      <c r="BM9" s="43">
        <v>260574.41193171</v>
      </c>
      <c r="BN9" s="43">
        <v>257566.57610787</v>
      </c>
      <c r="BO9" s="43">
        <v>249972.27052665001</v>
      </c>
      <c r="BP9" s="43">
        <v>250835.16013696999</v>
      </c>
      <c r="BQ9" s="43">
        <v>247782.65405370999</v>
      </c>
      <c r="BR9" s="43">
        <v>244385.13114457999</v>
      </c>
      <c r="BS9" s="43">
        <v>240361.09759724</v>
      </c>
      <c r="BT9" s="43">
        <v>239259.85803177001</v>
      </c>
      <c r="BU9" s="43">
        <v>224260.23680896999</v>
      </c>
      <c r="BV9" s="43">
        <v>224841.49528525001</v>
      </c>
      <c r="BW9" s="43">
        <v>220727.24597039999</v>
      </c>
      <c r="BX9" s="43">
        <v>221233.54269505001</v>
      </c>
      <c r="BY9" s="43">
        <v>220967.51629617001</v>
      </c>
      <c r="BZ9" s="43">
        <v>223542.28036259001</v>
      </c>
      <c r="CA9" s="43">
        <v>224532.51259005</v>
      </c>
      <c r="CB9" s="43">
        <v>227224.21945835001</v>
      </c>
      <c r="CC9" s="43">
        <v>233115.70974252999</v>
      </c>
      <c r="CD9" s="43">
        <v>233522.55358104999</v>
      </c>
      <c r="CE9" s="43">
        <v>237880.29067468</v>
      </c>
      <c r="CF9" s="43">
        <v>245115.94965133999</v>
      </c>
      <c r="CG9" s="43">
        <v>240824.66922323999</v>
      </c>
      <c r="CH9" s="43">
        <v>246028.78816987999</v>
      </c>
      <c r="CI9" s="43">
        <v>249300.86476152</v>
      </c>
      <c r="CJ9" s="43">
        <v>255233.94466984001</v>
      </c>
      <c r="CK9" s="43">
        <v>260892.45708142</v>
      </c>
      <c r="CL9" s="43">
        <v>266292.90002693998</v>
      </c>
      <c r="CM9" s="19">
        <v>271248.43865282001</v>
      </c>
      <c r="CN9" s="19">
        <v>278775.41861976002</v>
      </c>
      <c r="CO9" s="19">
        <v>284356.73402492999</v>
      </c>
      <c r="CP9" s="19">
        <v>288713.69137805002</v>
      </c>
      <c r="CQ9" s="19">
        <v>293006.32821647997</v>
      </c>
      <c r="CR9" s="19">
        <v>298978.89311100001</v>
      </c>
      <c r="CS9" s="19">
        <v>295562.86030175001</v>
      </c>
      <c r="CT9" s="19">
        <v>301009.36721266003</v>
      </c>
      <c r="CU9" s="19">
        <v>304636.10785496002</v>
      </c>
      <c r="CV9" s="19">
        <v>310929.38238467998</v>
      </c>
      <c r="CW9" s="19">
        <v>316528.53480094002</v>
      </c>
      <c r="CX9" s="19">
        <v>325241.78649298998</v>
      </c>
      <c r="CY9" s="19">
        <v>332037.71975583001</v>
      </c>
      <c r="CZ9" s="19">
        <v>341269.37119074998</v>
      </c>
      <c r="DA9" s="19">
        <v>350916.72545586003</v>
      </c>
      <c r="DB9" s="19">
        <v>354646.70181348</v>
      </c>
      <c r="DC9" s="19">
        <v>360786.91298327001</v>
      </c>
      <c r="DD9" s="19">
        <v>370955.69419881998</v>
      </c>
      <c r="DE9" s="19">
        <v>368652.91725746001</v>
      </c>
      <c r="DF9" s="19">
        <v>377648.72691899998</v>
      </c>
      <c r="DG9" s="19">
        <v>383353.81312622997</v>
      </c>
    </row>
    <row r="10" spans="1:111" s="30" customFormat="1" x14ac:dyDescent="0.3">
      <c r="A10" s="31" t="s">
        <v>6</v>
      </c>
      <c r="B10" s="25">
        <v>98538.174626870037</v>
      </c>
      <c r="C10" s="41">
        <v>100205.64840063997</v>
      </c>
      <c r="D10" s="25">
        <v>97441.892313369914</v>
      </c>
      <c r="E10" s="25">
        <v>95769.93749512003</v>
      </c>
      <c r="F10" s="25">
        <v>94147.783508309949</v>
      </c>
      <c r="G10" s="25">
        <v>92766.413927569971</v>
      </c>
      <c r="H10" s="25">
        <v>91884.063892900012</v>
      </c>
      <c r="I10" s="25">
        <v>90090.306059679991</v>
      </c>
      <c r="J10" s="26">
        <v>91292.708859270017</v>
      </c>
      <c r="K10" s="25">
        <v>91523.257388790007</v>
      </c>
      <c r="L10" s="25">
        <v>85327.710431729996</v>
      </c>
      <c r="M10" s="27">
        <v>93353.007947499995</v>
      </c>
      <c r="N10" s="27">
        <v>102726.87445733001</v>
      </c>
      <c r="O10" s="27">
        <v>99530.259816370002</v>
      </c>
      <c r="P10" s="27">
        <v>98994.460240329994</v>
      </c>
      <c r="Q10" s="29">
        <v>98931.942108040006</v>
      </c>
      <c r="R10" s="29">
        <v>98628.667825600001</v>
      </c>
      <c r="S10" s="29">
        <v>98038.314907360007</v>
      </c>
      <c r="T10" s="29">
        <v>99016.681273049995</v>
      </c>
      <c r="U10" s="29">
        <v>102641.03020934</v>
      </c>
      <c r="V10" s="29">
        <v>101926.12862103</v>
      </c>
      <c r="W10" s="29">
        <v>100189.78351738</v>
      </c>
      <c r="X10" s="29">
        <v>100974.7245039</v>
      </c>
      <c r="Y10" s="29">
        <v>93086.241161140002</v>
      </c>
      <c r="Z10" s="29">
        <v>92990.199665830005</v>
      </c>
      <c r="AA10" s="29">
        <v>90836.559227880003</v>
      </c>
      <c r="AB10" s="29">
        <v>91461.411994990005</v>
      </c>
      <c r="AC10" s="29">
        <v>87620.210207729993</v>
      </c>
      <c r="AD10" s="29">
        <v>87375.991920589993</v>
      </c>
      <c r="AE10" s="29">
        <v>85785.808766849994</v>
      </c>
      <c r="AF10" s="29">
        <v>83910.936557890003</v>
      </c>
      <c r="AG10" s="29">
        <v>84518.44880744</v>
      </c>
      <c r="AH10" s="29">
        <v>81320.906811769994</v>
      </c>
      <c r="AI10" s="29">
        <v>82636.132480989996</v>
      </c>
      <c r="AJ10" s="29">
        <v>81232.340614400004</v>
      </c>
      <c r="AK10" s="29">
        <v>73076.996772950006</v>
      </c>
      <c r="AL10" s="29">
        <v>75633.618593380001</v>
      </c>
      <c r="AM10" s="29">
        <v>74282.48217617</v>
      </c>
      <c r="AN10" s="29">
        <v>79883.694595499997</v>
      </c>
      <c r="AO10" s="29">
        <v>78028.414446359995</v>
      </c>
      <c r="AP10" s="29">
        <v>79095.307871430006</v>
      </c>
      <c r="AQ10" s="29">
        <v>79444.467614609996</v>
      </c>
      <c r="AR10" s="29">
        <v>80935.256277909997</v>
      </c>
      <c r="AS10" s="29">
        <v>80829.963535839997</v>
      </c>
      <c r="AT10" s="29">
        <v>77549.238517770005</v>
      </c>
      <c r="AU10" s="29">
        <v>64794.777268899998</v>
      </c>
      <c r="AV10" s="29">
        <v>62734.382051100001</v>
      </c>
      <c r="AW10" s="29">
        <v>58229.793791900003</v>
      </c>
      <c r="AX10" s="29">
        <v>58408.144987539999</v>
      </c>
      <c r="AY10" s="29">
        <v>56164.450985969997</v>
      </c>
      <c r="AZ10" s="29">
        <v>54919.266514130002</v>
      </c>
      <c r="BA10" s="29">
        <v>55289.081517749997</v>
      </c>
      <c r="BB10" s="29">
        <v>52518.555170200001</v>
      </c>
      <c r="BC10" s="29">
        <v>51333.932205210003</v>
      </c>
      <c r="BD10" s="29">
        <v>49562.100558159997</v>
      </c>
      <c r="BE10" s="29">
        <v>47737.718693559997</v>
      </c>
      <c r="BF10" s="29">
        <v>46283.20445207</v>
      </c>
      <c r="BG10" s="29">
        <v>44152.397096200002</v>
      </c>
      <c r="BH10" s="29">
        <v>44691.42213495</v>
      </c>
      <c r="BI10" s="29">
        <v>43210.234850749999</v>
      </c>
      <c r="BJ10" s="29">
        <v>44483.873532860001</v>
      </c>
      <c r="BK10" s="29">
        <v>42953.741022039976</v>
      </c>
      <c r="BL10" s="29">
        <v>42644.389300900002</v>
      </c>
      <c r="BM10" s="29">
        <v>42388.94326878</v>
      </c>
      <c r="BN10" s="29">
        <v>42699.537151850003</v>
      </c>
      <c r="BO10" s="29">
        <v>40008.527052789999</v>
      </c>
      <c r="BP10" s="29">
        <v>45757.813178960001</v>
      </c>
      <c r="BQ10" s="29">
        <v>47691.294615179999</v>
      </c>
      <c r="BR10" s="29">
        <v>67394.993236790004</v>
      </c>
      <c r="BS10" s="29">
        <v>72756.192322870003</v>
      </c>
      <c r="BT10" s="29">
        <v>76647.436526329999</v>
      </c>
      <c r="BU10" s="29">
        <v>68272.258531519998</v>
      </c>
      <c r="BV10" s="29">
        <v>72852.996693669993</v>
      </c>
      <c r="BW10" s="29">
        <v>71476.961729169998</v>
      </c>
      <c r="BX10" s="29">
        <v>70873.101834390007</v>
      </c>
      <c r="BY10" s="29">
        <v>69837.425267350001</v>
      </c>
      <c r="BZ10" s="29">
        <v>69705.344306719999</v>
      </c>
      <c r="CA10" s="29">
        <v>67410.577317739997</v>
      </c>
      <c r="CB10" s="29">
        <v>65810.284413529997</v>
      </c>
      <c r="CC10" s="29">
        <v>65383.062332540001</v>
      </c>
      <c r="CD10" s="29">
        <v>62480.398258360001</v>
      </c>
      <c r="CE10" s="29">
        <v>61826.750933110001</v>
      </c>
      <c r="CF10" s="29">
        <v>60966.584614239997</v>
      </c>
      <c r="CG10" s="29">
        <v>56635.76885162</v>
      </c>
      <c r="CH10" s="29">
        <v>56089.98283642</v>
      </c>
      <c r="CI10" s="29">
        <v>55715.868676810001</v>
      </c>
      <c r="CJ10" s="29">
        <v>54678.117951259999</v>
      </c>
      <c r="CK10" s="29">
        <v>53894.418586059997</v>
      </c>
      <c r="CL10" s="29">
        <v>54280.677521090001</v>
      </c>
      <c r="CM10" s="32">
        <v>53109.907509709999</v>
      </c>
      <c r="CN10" s="32">
        <v>52359.17853379</v>
      </c>
      <c r="CO10" s="32">
        <v>50476.60839252</v>
      </c>
      <c r="CP10" s="32">
        <v>50838.921364000002</v>
      </c>
      <c r="CQ10" s="32">
        <v>49852.148507220001</v>
      </c>
      <c r="CR10" s="32">
        <v>49975.852148099999</v>
      </c>
      <c r="CS10" s="32">
        <v>45771.319093830003</v>
      </c>
      <c r="CT10" s="32">
        <v>46990.159094379997</v>
      </c>
      <c r="CU10" s="32">
        <v>46619.205251649997</v>
      </c>
      <c r="CV10" s="32">
        <v>44511.015729049999</v>
      </c>
      <c r="CW10" s="32">
        <v>44855.582345379997</v>
      </c>
      <c r="CX10" s="32">
        <v>45830.521759460004</v>
      </c>
      <c r="CY10" s="32">
        <v>46384.784368510002</v>
      </c>
      <c r="CZ10" s="32">
        <v>47069.019827010001</v>
      </c>
      <c r="DA10" s="32">
        <v>46433.876029200001</v>
      </c>
      <c r="DB10" s="32">
        <v>45376.375614730001</v>
      </c>
      <c r="DC10" s="32">
        <v>45567.411238469998</v>
      </c>
      <c r="DD10" s="32">
        <v>46205.445326929999</v>
      </c>
      <c r="DE10" s="32">
        <v>39726.602113120003</v>
      </c>
      <c r="DF10" s="32">
        <v>40889.940326049997</v>
      </c>
      <c r="DG10" s="32">
        <v>41054.682455210001</v>
      </c>
    </row>
    <row r="11" spans="1:111" s="40" customFormat="1" x14ac:dyDescent="0.3">
      <c r="A11" s="33" t="s">
        <v>7</v>
      </c>
      <c r="B11" s="34">
        <v>62.958027578665934</v>
      </c>
      <c r="C11" s="35">
        <v>61.721244137813393</v>
      </c>
      <c r="D11" s="34">
        <v>60.194316999239803</v>
      </c>
      <c r="E11" s="34">
        <v>59.662300960294267</v>
      </c>
      <c r="F11" s="34">
        <v>58.910143905708459</v>
      </c>
      <c r="G11" s="34">
        <v>57.945466699940773</v>
      </c>
      <c r="H11" s="34">
        <v>57.252600929216122</v>
      </c>
      <c r="I11" s="34">
        <v>55.614321781173089</v>
      </c>
      <c r="J11" s="44">
        <v>55.40560462626614</v>
      </c>
      <c r="K11" s="34">
        <v>54.676512363794501</v>
      </c>
      <c r="L11" s="34">
        <v>52.043934096054102</v>
      </c>
      <c r="M11" s="34">
        <v>53.513275183505399</v>
      </c>
      <c r="N11" s="34">
        <v>55.002796644191001</v>
      </c>
      <c r="O11" s="34">
        <v>53.923271554185298</v>
      </c>
      <c r="P11" s="34">
        <v>53.133669583228098</v>
      </c>
      <c r="Q11" s="44">
        <v>52.820416891520097</v>
      </c>
      <c r="R11" s="44">
        <v>51.808520022249198</v>
      </c>
      <c r="S11" s="44">
        <v>51.323880682169097</v>
      </c>
      <c r="T11" s="44">
        <v>50.718766326823598</v>
      </c>
      <c r="U11" s="44">
        <v>50.423187318315399</v>
      </c>
      <c r="V11" s="44">
        <v>49.623267682576902</v>
      </c>
      <c r="W11" s="44">
        <v>48.558375810321202</v>
      </c>
      <c r="X11" s="44">
        <v>48.215724090356503</v>
      </c>
      <c r="Y11" s="44">
        <v>46.036212943118997</v>
      </c>
      <c r="Z11" s="44">
        <v>45.5601088707852</v>
      </c>
      <c r="AA11" s="44">
        <v>44.600550791798298</v>
      </c>
      <c r="AB11" s="44">
        <v>44.117275885763497</v>
      </c>
      <c r="AC11" s="44">
        <v>42.62950047919</v>
      </c>
      <c r="AD11" s="44">
        <v>41.819304516677597</v>
      </c>
      <c r="AE11" s="44">
        <v>41.061981601404298</v>
      </c>
      <c r="AF11" s="44">
        <v>39.9615982842626</v>
      </c>
      <c r="AG11" s="44">
        <v>39.491053603409703</v>
      </c>
      <c r="AH11" s="44">
        <v>38.142059859047798</v>
      </c>
      <c r="AI11" s="44">
        <v>37.9265905406915</v>
      </c>
      <c r="AJ11" s="44">
        <v>37.216846464842298</v>
      </c>
      <c r="AK11" s="44">
        <v>34.108043475889303</v>
      </c>
      <c r="AL11" s="44">
        <v>34.5806018888387</v>
      </c>
      <c r="AM11" s="44">
        <v>33.8856989109577</v>
      </c>
      <c r="AN11" s="44">
        <v>35.3177024398668</v>
      </c>
      <c r="AO11" s="44">
        <v>35.752569401463703</v>
      </c>
      <c r="AP11" s="44">
        <v>36.2508584775494</v>
      </c>
      <c r="AQ11" s="44">
        <v>36.237221366412498</v>
      </c>
      <c r="AR11" s="44">
        <v>36.396441371180202</v>
      </c>
      <c r="AS11" s="44">
        <v>35.922010404971601</v>
      </c>
      <c r="AT11" s="44">
        <v>34.7744416881782</v>
      </c>
      <c r="AU11" s="44">
        <v>30.673778274945601</v>
      </c>
      <c r="AV11" s="44">
        <v>29.603512963012498</v>
      </c>
      <c r="AW11" s="44">
        <v>27.943618101865599</v>
      </c>
      <c r="AX11" s="44">
        <v>27.8622759929616</v>
      </c>
      <c r="AY11" s="44">
        <v>26.642857333763899</v>
      </c>
      <c r="AZ11" s="44">
        <v>25.509221778045699</v>
      </c>
      <c r="BA11" s="44">
        <v>25.283291903549799</v>
      </c>
      <c r="BB11" s="44">
        <v>23.3958332246292</v>
      </c>
      <c r="BC11" s="44">
        <v>22.402948135632201</v>
      </c>
      <c r="BD11" s="44">
        <v>21.276131954252499</v>
      </c>
      <c r="BE11" s="44">
        <v>20.018912606583999</v>
      </c>
      <c r="BF11" s="44">
        <v>19.115649697372199</v>
      </c>
      <c r="BG11" s="44">
        <v>18.051562339999599</v>
      </c>
      <c r="BH11" s="44">
        <v>17.694818752040302</v>
      </c>
      <c r="BI11" s="44">
        <v>16.859825914592101</v>
      </c>
      <c r="BJ11" s="44">
        <v>16.824228839375799</v>
      </c>
      <c r="BK11" s="39">
        <v>15.922863399612385</v>
      </c>
      <c r="BL11" s="44">
        <v>16.085046885075599</v>
      </c>
      <c r="BM11" s="44">
        <v>16.2675003100032</v>
      </c>
      <c r="BN11" s="44">
        <v>16.578058301309699</v>
      </c>
      <c r="BO11" s="44">
        <v>16.005186082639799</v>
      </c>
      <c r="BP11" s="44">
        <v>18.242184689727601</v>
      </c>
      <c r="BQ11" s="44">
        <v>19.247228906040501</v>
      </c>
      <c r="BR11" s="44">
        <v>27.577370571255699</v>
      </c>
      <c r="BS11" s="44">
        <v>30.269537396098801</v>
      </c>
      <c r="BT11" s="44">
        <v>32.035226116431303</v>
      </c>
      <c r="BU11" s="44">
        <v>30.4433186653931</v>
      </c>
      <c r="BV11" s="44">
        <v>32.401935684177602</v>
      </c>
      <c r="BW11" s="44">
        <v>32.3824824683198</v>
      </c>
      <c r="BX11" s="44">
        <v>32.035423277600401</v>
      </c>
      <c r="BY11" s="44">
        <v>31.605290423658801</v>
      </c>
      <c r="BZ11" s="44">
        <v>31.182174662286101</v>
      </c>
      <c r="CA11" s="44">
        <v>30.022635270116901</v>
      </c>
      <c r="CB11" s="44">
        <v>28.962706779412201</v>
      </c>
      <c r="CC11" s="44">
        <v>28.047471534524099</v>
      </c>
      <c r="CD11" s="44">
        <v>26.755616235018</v>
      </c>
      <c r="CE11" s="44">
        <v>25.990699253711199</v>
      </c>
      <c r="CF11" s="44">
        <v>24.872548971603301</v>
      </c>
      <c r="CG11" s="44">
        <v>23.517428274393101</v>
      </c>
      <c r="CH11" s="44">
        <v>22.798138077114199</v>
      </c>
      <c r="CI11" s="44">
        <v>22.348846936454699</v>
      </c>
      <c r="CJ11" s="44">
        <v>21.422745325661701</v>
      </c>
      <c r="CK11" s="44">
        <v>20.657714365900802</v>
      </c>
      <c r="CL11" s="44">
        <v>20.383824546429398</v>
      </c>
      <c r="CM11" s="44">
        <v>19.5798021081652</v>
      </c>
      <c r="CN11" s="44">
        <v>18.781849128960001</v>
      </c>
      <c r="CO11" s="44">
        <v>17.751156330306799</v>
      </c>
      <c r="CP11" s="44">
        <v>17.6087670526958</v>
      </c>
      <c r="CQ11" s="44">
        <v>17.014017687149799</v>
      </c>
      <c r="CR11" s="44">
        <v>16.715511796863101</v>
      </c>
      <c r="CS11" s="44">
        <v>15.4861537904663</v>
      </c>
      <c r="CT11" s="44">
        <v>15.610862721485301</v>
      </c>
      <c r="CU11" s="44">
        <v>15.303243459848099</v>
      </c>
      <c r="CV11" s="44">
        <v>14.3154742686818</v>
      </c>
      <c r="CW11" s="44">
        <v>14.171102258944501</v>
      </c>
      <c r="CX11" s="44">
        <v>14.0912157240434</v>
      </c>
      <c r="CY11" s="44">
        <v>13.969733439508</v>
      </c>
      <c r="CZ11" s="44">
        <v>13.7923364358125</v>
      </c>
      <c r="DA11" s="44">
        <v>13.232163832852301</v>
      </c>
      <c r="DB11" s="44">
        <v>12.7948111127775</v>
      </c>
      <c r="DC11" s="44">
        <v>12.630006687793299</v>
      </c>
      <c r="DD11" s="44">
        <v>12.455785434625399</v>
      </c>
      <c r="DE11" s="44">
        <v>10.776152921468899</v>
      </c>
      <c r="DF11" s="44">
        <v>10.8275064660341</v>
      </c>
      <c r="DG11" s="44">
        <v>10.7093450096169</v>
      </c>
    </row>
    <row r="12" spans="1:111" s="30" customFormat="1" ht="28.8" x14ac:dyDescent="0.3">
      <c r="A12" s="24" t="s">
        <v>9</v>
      </c>
      <c r="B12" s="25">
        <v>9883.9089688999993</v>
      </c>
      <c r="C12" s="41">
        <v>11461.365960289995</v>
      </c>
      <c r="D12" s="25">
        <v>15143.46570214</v>
      </c>
      <c r="E12" s="25">
        <v>16708.418529980001</v>
      </c>
      <c r="F12" s="25">
        <v>12496.216085320002</v>
      </c>
      <c r="G12" s="25">
        <v>12961.251789089998</v>
      </c>
      <c r="H12" s="25">
        <v>16128.247116369997</v>
      </c>
      <c r="I12" s="25">
        <v>16473.644499580001</v>
      </c>
      <c r="J12" s="25">
        <v>17986.251219139998</v>
      </c>
      <c r="K12" s="25">
        <v>16209.10136628</v>
      </c>
      <c r="L12" s="25">
        <v>17936.338178639999</v>
      </c>
      <c r="M12" s="42">
        <v>22046.302791819999</v>
      </c>
      <c r="N12" s="27">
        <v>19938.122068119999</v>
      </c>
      <c r="O12" s="42">
        <v>21333.258883589999</v>
      </c>
      <c r="P12" s="42">
        <v>20843.20713957</v>
      </c>
      <c r="Q12" s="42">
        <v>20935.529546000002</v>
      </c>
      <c r="R12" s="42">
        <v>19632.093290609999</v>
      </c>
      <c r="S12" s="42">
        <v>22806.73934869</v>
      </c>
      <c r="T12" s="42">
        <v>23950.199576589999</v>
      </c>
      <c r="U12" s="42">
        <v>26452.516809739998</v>
      </c>
      <c r="V12" s="42">
        <v>32693.141087849999</v>
      </c>
      <c r="W12" s="42">
        <v>30832.36257058</v>
      </c>
      <c r="X12" s="42">
        <v>27029.864793510002</v>
      </c>
      <c r="Y12" s="42">
        <v>28888.003574220002</v>
      </c>
      <c r="Z12" s="42">
        <v>37486.981655989999</v>
      </c>
      <c r="AA12" s="42">
        <v>33964.91588511</v>
      </c>
      <c r="AB12" s="42">
        <v>35154.338227070002</v>
      </c>
      <c r="AC12" s="42">
        <v>28364.011872449999</v>
      </c>
      <c r="AD12" s="42">
        <v>28148.959947930001</v>
      </c>
      <c r="AE12" s="42">
        <v>30413.021205159999</v>
      </c>
      <c r="AF12" s="42">
        <v>40121.651048150001</v>
      </c>
      <c r="AG12" s="42">
        <v>43073.756589819997</v>
      </c>
      <c r="AH12" s="42">
        <v>37858.821524610001</v>
      </c>
      <c r="AI12" s="42">
        <v>38576.26158128</v>
      </c>
      <c r="AJ12" s="42">
        <v>34596.529208120002</v>
      </c>
      <c r="AK12" s="42">
        <v>31367.765016689998</v>
      </c>
      <c r="AL12" s="42">
        <v>37642.087779280002</v>
      </c>
      <c r="AM12" s="42">
        <v>40679.213008769999</v>
      </c>
      <c r="AN12" s="42">
        <v>32402.697133940001</v>
      </c>
      <c r="AO12" s="42">
        <v>32037.760506409999</v>
      </c>
      <c r="AP12" s="42">
        <v>33403.358978509998</v>
      </c>
      <c r="AQ12" s="42">
        <v>32045.433142450001</v>
      </c>
      <c r="AR12" s="42">
        <v>39691.345968599999</v>
      </c>
      <c r="AS12" s="42">
        <v>39863.426616680001</v>
      </c>
      <c r="AT12" s="42">
        <v>41987.067399849999</v>
      </c>
      <c r="AU12" s="42">
        <v>41224.969749709999</v>
      </c>
      <c r="AV12" s="42">
        <v>37858.110465420003</v>
      </c>
      <c r="AW12" s="42">
        <v>34057.445515120002</v>
      </c>
      <c r="AX12" s="42">
        <v>39770.204765859999</v>
      </c>
      <c r="AY12" s="42">
        <v>41542.679360280003</v>
      </c>
      <c r="AZ12" s="42">
        <v>39152.604114610003</v>
      </c>
      <c r="BA12" s="42">
        <v>39388.393174910001</v>
      </c>
      <c r="BB12" s="42">
        <v>40366.941826759998</v>
      </c>
      <c r="BC12" s="42">
        <v>40929.820289839998</v>
      </c>
      <c r="BD12" s="42">
        <v>39567.186975470002</v>
      </c>
      <c r="BE12" s="42">
        <v>41103.899500259999</v>
      </c>
      <c r="BF12" s="42">
        <v>37617.253469939998</v>
      </c>
      <c r="BG12" s="42">
        <v>35914.982478329999</v>
      </c>
      <c r="BH12" s="42">
        <v>41172.201728020002</v>
      </c>
      <c r="BI12" s="42">
        <v>30580.717826470001</v>
      </c>
      <c r="BJ12" s="42">
        <v>42063.309727669999</v>
      </c>
      <c r="BK12" s="28">
        <v>19704.830214970003</v>
      </c>
      <c r="BL12" s="42">
        <v>7233.9293010000001</v>
      </c>
      <c r="BM12" s="42">
        <v>10071.38051214</v>
      </c>
      <c r="BN12" s="42">
        <v>17264.206533889999</v>
      </c>
      <c r="BO12" s="42">
        <v>23006.572153019999</v>
      </c>
      <c r="BP12" s="42">
        <v>33278.180409150002</v>
      </c>
      <c r="BQ12" s="42">
        <v>28609.590445509999</v>
      </c>
      <c r="BR12" s="42">
        <v>32522.08963627</v>
      </c>
      <c r="BS12" s="42">
        <v>33696.10481841</v>
      </c>
      <c r="BT12" s="42">
        <v>33205.542179060001</v>
      </c>
      <c r="BU12" s="42">
        <v>36917.032719080002</v>
      </c>
      <c r="BV12" s="42">
        <v>55378.61816192</v>
      </c>
      <c r="BW12" s="42">
        <v>56269.416629849999</v>
      </c>
      <c r="BX12" s="42">
        <v>56253.708876429999</v>
      </c>
      <c r="BY12" s="42">
        <v>54474.794895359999</v>
      </c>
      <c r="BZ12" s="42">
        <v>50581.76287903</v>
      </c>
      <c r="CA12" s="42">
        <v>46953.668879850004</v>
      </c>
      <c r="CB12" s="42">
        <v>46624.244201660003</v>
      </c>
      <c r="CC12" s="42">
        <v>49007.555074559998</v>
      </c>
      <c r="CD12" s="42">
        <v>52714.562869339999</v>
      </c>
      <c r="CE12" s="42">
        <v>60778.025980539998</v>
      </c>
      <c r="CF12" s="42">
        <v>60222.813973440003</v>
      </c>
      <c r="CG12" s="42">
        <v>43144.434317179999</v>
      </c>
      <c r="CH12" s="42">
        <v>60896.491435310003</v>
      </c>
      <c r="CI12" s="42">
        <v>61644.250867549999</v>
      </c>
      <c r="CJ12" s="42">
        <v>60955.71813152</v>
      </c>
      <c r="CK12" s="42">
        <v>67603.657937940006</v>
      </c>
      <c r="CL12" s="42">
        <v>68405.858712059999</v>
      </c>
      <c r="CM12" s="46">
        <v>58844.356430319996</v>
      </c>
      <c r="CN12" s="46">
        <v>60083.707467510001</v>
      </c>
      <c r="CO12" s="46">
        <v>73696.889204959996</v>
      </c>
      <c r="CP12" s="46">
        <v>85664.177382309994</v>
      </c>
      <c r="CQ12" s="46">
        <v>81454.187567849993</v>
      </c>
      <c r="CR12" s="46">
        <v>99968.04296803</v>
      </c>
      <c r="CS12" s="46">
        <v>97918.027760090001</v>
      </c>
      <c r="CT12" s="46">
        <v>106851.77627092</v>
      </c>
      <c r="CU12" s="46">
        <v>106261.11875685</v>
      </c>
      <c r="CV12" s="46">
        <v>103906.68669017</v>
      </c>
      <c r="CW12" s="46">
        <v>104554.3533074</v>
      </c>
      <c r="CX12" s="46">
        <v>102640.8667264</v>
      </c>
      <c r="CY12" s="46">
        <v>130063.93959285</v>
      </c>
      <c r="CZ12" s="46">
        <v>126125.4158833</v>
      </c>
      <c r="DA12" s="46">
        <v>131899.18619956</v>
      </c>
      <c r="DB12" s="46">
        <v>115652.7572486</v>
      </c>
      <c r="DC12" s="46">
        <v>117506.73482919</v>
      </c>
      <c r="DD12" s="46">
        <v>122501.39960595001</v>
      </c>
      <c r="DE12" s="46">
        <v>102062.70470274999</v>
      </c>
      <c r="DF12" s="46">
        <v>108183.41752438</v>
      </c>
      <c r="DG12" s="46">
        <v>137493.44988946</v>
      </c>
    </row>
    <row r="13" spans="1:111" s="30" customFormat="1" x14ac:dyDescent="0.3">
      <c r="A13" s="31" t="s">
        <v>6</v>
      </c>
      <c r="B13" s="25">
        <v>454.15965090000009</v>
      </c>
      <c r="C13" s="25">
        <v>1582.7106882200001</v>
      </c>
      <c r="D13" s="25">
        <v>1598.5903762799996</v>
      </c>
      <c r="E13" s="25">
        <v>1761.1400047199998</v>
      </c>
      <c r="F13" s="25">
        <v>1491.2505331499999</v>
      </c>
      <c r="G13" s="25">
        <v>1473.09210192</v>
      </c>
      <c r="H13" s="25">
        <v>1397.95790908</v>
      </c>
      <c r="I13" s="25">
        <v>1391.82186959</v>
      </c>
      <c r="J13" s="26">
        <v>1369.55765679</v>
      </c>
      <c r="K13" s="26">
        <v>1374.7240428</v>
      </c>
      <c r="L13" s="26">
        <v>1359.74410106</v>
      </c>
      <c r="M13" s="27">
        <v>1371.82756608</v>
      </c>
      <c r="N13" s="29">
        <v>1506.3116030599999</v>
      </c>
      <c r="O13" s="28">
        <v>1391.0641780599999</v>
      </c>
      <c r="P13" s="28">
        <v>1385.29075534</v>
      </c>
      <c r="Q13" s="29">
        <v>1377.6876316600001</v>
      </c>
      <c r="R13" s="28">
        <v>1376.1857993199999</v>
      </c>
      <c r="S13" s="28">
        <v>1377.55905293</v>
      </c>
      <c r="T13" s="28">
        <v>1212.6936482999999</v>
      </c>
      <c r="U13" s="28">
        <v>1371.8319319100001</v>
      </c>
      <c r="V13" s="28">
        <v>1322.55019021</v>
      </c>
      <c r="W13" s="28">
        <v>1313.62573423</v>
      </c>
      <c r="X13" s="28">
        <v>1368.87093439</v>
      </c>
      <c r="Y13" s="28">
        <v>1073.0209829200001</v>
      </c>
      <c r="Z13" s="28">
        <v>1084.3874177600001</v>
      </c>
      <c r="AA13" s="28">
        <v>1082.34155427</v>
      </c>
      <c r="AB13" s="28">
        <v>1084.7221430500001</v>
      </c>
      <c r="AC13" s="28">
        <v>1079.11830588</v>
      </c>
      <c r="AD13" s="28">
        <v>1007.13979803</v>
      </c>
      <c r="AE13" s="28">
        <v>1000.32818546</v>
      </c>
      <c r="AF13" s="28">
        <v>990.77034592999996</v>
      </c>
      <c r="AG13" s="28">
        <v>990.16489722999995</v>
      </c>
      <c r="AH13" s="28">
        <v>979.78596773000004</v>
      </c>
      <c r="AI13" s="28">
        <v>977.60809388999996</v>
      </c>
      <c r="AJ13" s="28">
        <v>949.70068893999996</v>
      </c>
      <c r="AK13" s="28">
        <v>946.34375571999999</v>
      </c>
      <c r="AL13" s="28">
        <v>953.72691253999994</v>
      </c>
      <c r="AM13" s="28">
        <v>950.25810861000002</v>
      </c>
      <c r="AN13" s="28">
        <v>973.00652663999995</v>
      </c>
      <c r="AO13" s="28">
        <v>964.61201964999998</v>
      </c>
      <c r="AP13" s="28">
        <v>963.66944383999999</v>
      </c>
      <c r="AQ13" s="28">
        <v>957.10021311000003</v>
      </c>
      <c r="AR13" s="28">
        <v>1007.87920703</v>
      </c>
      <c r="AS13" s="28">
        <v>1005.4176963899999</v>
      </c>
      <c r="AT13" s="28">
        <v>982.03543781999997</v>
      </c>
      <c r="AU13" s="28">
        <v>981.78128084000002</v>
      </c>
      <c r="AV13" s="28">
        <v>1035.6940431099999</v>
      </c>
      <c r="AW13" s="28">
        <v>983.90753442000005</v>
      </c>
      <c r="AX13" s="28">
        <v>1086.4172171099999</v>
      </c>
      <c r="AY13" s="28">
        <v>1164.8121075700001</v>
      </c>
      <c r="AZ13" s="28">
        <v>981.26541627999995</v>
      </c>
      <c r="BA13" s="28">
        <v>980.34807069999999</v>
      </c>
      <c r="BB13" s="28">
        <v>971.50698229</v>
      </c>
      <c r="BC13" s="28">
        <v>785.87284332000002</v>
      </c>
      <c r="BD13" s="28">
        <v>444.77464808000002</v>
      </c>
      <c r="BE13" s="28">
        <v>450.45960968000003</v>
      </c>
      <c r="BF13" s="28">
        <v>386.14247363999999</v>
      </c>
      <c r="BG13" s="28">
        <v>255.81474610999999</v>
      </c>
      <c r="BH13" s="28">
        <v>255.81474610999999</v>
      </c>
      <c r="BI13" s="28">
        <v>255.81474610999999</v>
      </c>
      <c r="BJ13" s="28">
        <v>306.44796324999999</v>
      </c>
      <c r="BK13" s="29">
        <v>358.46718461</v>
      </c>
      <c r="BL13" s="28">
        <v>255.81474610999999</v>
      </c>
      <c r="BM13" s="28">
        <v>255.81474610999999</v>
      </c>
      <c r="BN13" s="28">
        <v>3.6119287199999999</v>
      </c>
      <c r="BO13" s="28">
        <v>3.5750295200000002</v>
      </c>
      <c r="BP13" s="28">
        <v>4.4687838500000003</v>
      </c>
      <c r="BQ13" s="28">
        <v>4.4687838500000003</v>
      </c>
      <c r="BR13" s="28">
        <v>46.089976620000002</v>
      </c>
      <c r="BS13" s="28">
        <v>46.11408703</v>
      </c>
      <c r="BT13" s="28">
        <v>46.135533420000002</v>
      </c>
      <c r="BU13" s="28">
        <v>4.4687838500000003</v>
      </c>
      <c r="BV13" s="28">
        <v>4.4687838500000003</v>
      </c>
      <c r="BW13" s="28">
        <v>4.4687838500000003</v>
      </c>
      <c r="BX13" s="28">
        <v>45.982252469999999</v>
      </c>
      <c r="BY13" s="28">
        <v>45.985743679999999</v>
      </c>
      <c r="BZ13" s="28">
        <v>45.986130209999999</v>
      </c>
      <c r="CA13" s="28">
        <v>45.985743679999999</v>
      </c>
      <c r="CB13" s="28">
        <v>41.629065990000001</v>
      </c>
      <c r="CC13" s="28">
        <v>539.21307462000004</v>
      </c>
      <c r="CD13" s="28">
        <v>539.23088206</v>
      </c>
      <c r="CE13" s="28">
        <v>497.70648037000001</v>
      </c>
      <c r="CF13" s="28">
        <v>0.11112878</v>
      </c>
      <c r="CG13" s="28">
        <v>0.11603889000000001</v>
      </c>
      <c r="CH13" s="28">
        <v>0.11570954999999999</v>
      </c>
      <c r="CI13" s="28">
        <v>0.1167272</v>
      </c>
      <c r="CJ13" s="28">
        <v>0.11982412000000001</v>
      </c>
      <c r="CK13" s="28">
        <v>0.12119096</v>
      </c>
      <c r="CL13" s="28">
        <v>0.12373064</v>
      </c>
      <c r="CM13" s="32">
        <v>0.12384459</v>
      </c>
      <c r="CN13" s="32">
        <v>0.12534677</v>
      </c>
      <c r="CO13" s="32">
        <v>0.12583864</v>
      </c>
      <c r="CP13" s="32">
        <v>0.12576623000000001</v>
      </c>
      <c r="CQ13" s="32">
        <v>0.12611022999999999</v>
      </c>
      <c r="CR13" s="32">
        <v>0.12707747</v>
      </c>
      <c r="CS13" s="32">
        <v>0.12843209</v>
      </c>
      <c r="CT13" s="32">
        <v>0.12777585999999999</v>
      </c>
      <c r="CU13" s="32">
        <v>0.12682818000000001</v>
      </c>
      <c r="CV13" s="32">
        <v>0.12672032999999999</v>
      </c>
      <c r="CW13" s="32">
        <v>150.19185024000001</v>
      </c>
      <c r="CX13" s="32">
        <v>100.45429862</v>
      </c>
      <c r="CY13" s="32">
        <v>100.39156398</v>
      </c>
      <c r="CZ13" s="32">
        <v>199.99105698</v>
      </c>
      <c r="DA13" s="32">
        <v>200.28777991999999</v>
      </c>
      <c r="DB13" s="32">
        <v>200.63422032</v>
      </c>
      <c r="DC13" s="32">
        <v>200.04115109</v>
      </c>
      <c r="DD13" s="32">
        <v>0.12890196000000001</v>
      </c>
      <c r="DE13" s="32">
        <v>0</v>
      </c>
      <c r="DF13" s="32">
        <v>198.16892576000001</v>
      </c>
      <c r="DG13" s="32">
        <v>196.50071631</v>
      </c>
    </row>
    <row r="14" spans="1:111" s="40" customFormat="1" x14ac:dyDescent="0.3">
      <c r="A14" s="33" t="s">
        <v>7</v>
      </c>
      <c r="B14" s="34">
        <v>4.5949396370305147</v>
      </c>
      <c r="C14" s="35">
        <v>13.809093032223135</v>
      </c>
      <c r="D14" s="34">
        <v>10.556304664487039</v>
      </c>
      <c r="E14" s="34">
        <v>10.540435060086489</v>
      </c>
      <c r="F14" s="34">
        <v>11.933616728201864</v>
      </c>
      <c r="G14" s="34">
        <v>11.365353639375792</v>
      </c>
      <c r="H14" s="34">
        <v>8.6677609723693276</v>
      </c>
      <c r="I14" s="34">
        <v>8.4487793191451033</v>
      </c>
      <c r="J14" s="37">
        <v>7.6144697419359435</v>
      </c>
      <c r="K14" s="37">
        <v>8.4811860431686608</v>
      </c>
      <c r="L14" s="37">
        <v>7.5809459406786299</v>
      </c>
      <c r="M14" s="34">
        <v>6.2224835566941401</v>
      </c>
      <c r="N14" s="34">
        <v>7.5549321942837997</v>
      </c>
      <c r="O14" s="37">
        <v>6.5206360905789102</v>
      </c>
      <c r="P14" s="37">
        <v>6.6462456860109604</v>
      </c>
      <c r="Q14" s="37">
        <v>6.5806199390988196</v>
      </c>
      <c r="R14" s="37">
        <v>7.00987805502242</v>
      </c>
      <c r="S14" s="37">
        <v>6.0401402930451198</v>
      </c>
      <c r="T14" s="37">
        <v>5.0633968390198403</v>
      </c>
      <c r="U14" s="37">
        <v>5.1860166719745999</v>
      </c>
      <c r="V14" s="37">
        <v>4.0453445163196902</v>
      </c>
      <c r="W14" s="37">
        <v>4.2605419264349598</v>
      </c>
      <c r="X14" s="37">
        <v>5.0642907200877803</v>
      </c>
      <c r="Y14" s="37">
        <v>3.7144172326175502</v>
      </c>
      <c r="Z14" s="37">
        <v>2.8927039997810202</v>
      </c>
      <c r="AA14" s="37">
        <v>3.1866457668587702</v>
      </c>
      <c r="AB14" s="37">
        <v>3.0855996663726901</v>
      </c>
      <c r="AC14" s="37">
        <v>3.8045334021600401</v>
      </c>
      <c r="AD14" s="37">
        <v>3.5778934635347399</v>
      </c>
      <c r="AE14" s="37">
        <v>3.2891444053255698</v>
      </c>
      <c r="AF14" s="37">
        <v>2.4694156896509001</v>
      </c>
      <c r="AG14" s="37">
        <v>2.2987660599447599</v>
      </c>
      <c r="AH14" s="37">
        <v>2.5879991195528702</v>
      </c>
      <c r="AI14" s="37">
        <v>2.53422196401843</v>
      </c>
      <c r="AJ14" s="37">
        <v>2.7450750427216302</v>
      </c>
      <c r="AK14" s="37">
        <v>3.0169307734117301</v>
      </c>
      <c r="AL14" s="37">
        <v>2.5336716659615699</v>
      </c>
      <c r="AM14" s="37">
        <v>2.3359795785752699</v>
      </c>
      <c r="AN14" s="37">
        <v>3.00285659128305</v>
      </c>
      <c r="AO14" s="37">
        <v>3.0108596993132699</v>
      </c>
      <c r="AP14" s="37">
        <v>2.8849477217545001</v>
      </c>
      <c r="AQ14" s="37">
        <v>2.98669769528609</v>
      </c>
      <c r="AR14" s="37">
        <v>2.53929208605659</v>
      </c>
      <c r="AS14" s="37">
        <v>2.52215572448883</v>
      </c>
      <c r="AT14" s="37">
        <v>2.3388998056661299</v>
      </c>
      <c r="AU14" s="37">
        <v>2.3815209248198599</v>
      </c>
      <c r="AV14" s="37">
        <v>2.7357256618922201</v>
      </c>
      <c r="AW14" s="37">
        <v>2.88896457012076</v>
      </c>
      <c r="AX14" s="37">
        <v>2.7317365437419499</v>
      </c>
      <c r="AY14" s="37">
        <v>2.8038925883141399</v>
      </c>
      <c r="AZ14" s="37">
        <v>2.5062583663849698</v>
      </c>
      <c r="BA14" s="37">
        <v>2.48892628431584</v>
      </c>
      <c r="BB14" s="37">
        <v>2.4066895789612901</v>
      </c>
      <c r="BC14" s="37">
        <v>1.92004958183283</v>
      </c>
      <c r="BD14" s="37">
        <v>1.1240997454677299</v>
      </c>
      <c r="BE14" s="37">
        <v>1.09590480503474</v>
      </c>
      <c r="BF14" s="37">
        <v>1.02650363336219</v>
      </c>
      <c r="BG14" s="37">
        <v>0.71227863264126801</v>
      </c>
      <c r="BH14" s="37">
        <v>0.62132879800767005</v>
      </c>
      <c r="BI14" s="37">
        <v>0.83652302591985706</v>
      </c>
      <c r="BJ14" s="37">
        <v>0.72853982540611395</v>
      </c>
      <c r="BK14" s="38">
        <v>1.8191843355121529</v>
      </c>
      <c r="BL14" s="37">
        <v>3.5363180294648</v>
      </c>
      <c r="BM14" s="37">
        <v>2.5400166918690199</v>
      </c>
      <c r="BN14" s="37">
        <v>2.0921486967325799E-2</v>
      </c>
      <c r="BO14" s="37">
        <v>1.5539166357430301E-2</v>
      </c>
      <c r="BP14" s="37">
        <v>1.34285702975854E-2</v>
      </c>
      <c r="BQ14" s="37">
        <v>1.5619880538001001E-2</v>
      </c>
      <c r="BR14" s="37">
        <v>0.14171898895635099</v>
      </c>
      <c r="BS14" s="37">
        <v>0.13685287150699199</v>
      </c>
      <c r="BT14" s="37">
        <v>0.138939256498856</v>
      </c>
      <c r="BU14" s="37">
        <v>1.2104937804739599E-2</v>
      </c>
      <c r="BV14" s="37">
        <v>8.0695112993499508E-3</v>
      </c>
      <c r="BW14" s="37">
        <v>7.9417632484026605E-3</v>
      </c>
      <c r="BX14" s="37">
        <v>8.1740836983757198E-2</v>
      </c>
      <c r="BY14" s="37">
        <v>8.4416552220771907E-2</v>
      </c>
      <c r="BZ14" s="37">
        <v>9.0914447406626006E-2</v>
      </c>
      <c r="CA14" s="37">
        <v>9.7938552571202001E-2</v>
      </c>
      <c r="CB14" s="37">
        <v>8.9286307376791399E-2</v>
      </c>
      <c r="CC14" s="37">
        <v>1.1002652015584999</v>
      </c>
      <c r="CD14" s="37">
        <v>1.0229258343592</v>
      </c>
      <c r="CE14" s="37">
        <v>0.81889214455460702</v>
      </c>
      <c r="CF14" s="37">
        <v>1.8452937129276499E-4</v>
      </c>
      <c r="CG14" s="37">
        <v>2.6895448239494898E-4</v>
      </c>
      <c r="CH14" s="37">
        <v>1.9001020793277999E-4</v>
      </c>
      <c r="CI14" s="37">
        <v>1.8935618221852099E-4</v>
      </c>
      <c r="CJ14" s="37">
        <v>1.9657568423927599E-4</v>
      </c>
      <c r="CK14" s="37">
        <v>1.7926686764679699E-4</v>
      </c>
      <c r="CL14" s="37">
        <v>1.8087725573450901E-4</v>
      </c>
      <c r="CM14" s="37">
        <v>2.1046128722072E-4</v>
      </c>
      <c r="CN14" s="37">
        <v>2.0862023214493001E-4</v>
      </c>
      <c r="CO14" s="37">
        <v>1.70751630574294E-4</v>
      </c>
      <c r="CP14" s="37">
        <v>1.4681309485844801E-4</v>
      </c>
      <c r="CQ14" s="37">
        <v>1.5482350725670499E-4</v>
      </c>
      <c r="CR14" s="37">
        <v>1.27118093169674E-4</v>
      </c>
      <c r="CS14" s="37">
        <v>1.31162864426429E-4</v>
      </c>
      <c r="CT14" s="37">
        <v>1.19582345244339E-4</v>
      </c>
      <c r="CU14" s="37">
        <v>1.19355208644295E-4</v>
      </c>
      <c r="CV14" s="37">
        <v>1.21955895271549E-4</v>
      </c>
      <c r="CW14" s="37">
        <v>0.14364954254790499</v>
      </c>
      <c r="CX14" s="37">
        <v>9.78696905276253E-2</v>
      </c>
      <c r="CY14" s="37">
        <v>7.7186316433489596E-2</v>
      </c>
      <c r="CZ14" s="37">
        <v>0.15856523094841199</v>
      </c>
      <c r="DA14" s="37">
        <v>0.1518491400068</v>
      </c>
      <c r="DB14" s="37">
        <v>0.17347984180673601</v>
      </c>
      <c r="DC14" s="37">
        <v>0.17023803051015199</v>
      </c>
      <c r="DD14" s="37">
        <v>1.05224887564255E-4</v>
      </c>
      <c r="DE14" s="37">
        <v>0</v>
      </c>
      <c r="DF14" s="37">
        <v>0.183178651862557</v>
      </c>
      <c r="DG14" s="37">
        <v>0.142916419995265</v>
      </c>
    </row>
    <row r="15" spans="1:111" s="30" customFormat="1" ht="28.8" x14ac:dyDescent="0.3">
      <c r="A15" s="48" t="s">
        <v>10</v>
      </c>
      <c r="B15" s="19">
        <v>118.27895040999998</v>
      </c>
      <c r="C15" s="49">
        <v>1394.52908585</v>
      </c>
      <c r="D15" s="19">
        <v>1380.8398086599998</v>
      </c>
      <c r="E15" s="19">
        <v>1336.0598926699997</v>
      </c>
      <c r="F15" s="19">
        <v>1338.3042129800001</v>
      </c>
      <c r="G15" s="19">
        <v>1337.15589497</v>
      </c>
      <c r="H15" s="19">
        <v>1296.0658225699999</v>
      </c>
      <c r="I15" s="19">
        <v>1059.6643019999999</v>
      </c>
      <c r="J15" s="19">
        <v>1055.0268051199998</v>
      </c>
      <c r="K15" s="19">
        <v>1014.10435081</v>
      </c>
      <c r="L15" s="19">
        <v>1013.85454328</v>
      </c>
      <c r="M15" s="43">
        <v>1519.2626478300001</v>
      </c>
      <c r="N15" s="43">
        <v>1571.0581888900001</v>
      </c>
      <c r="O15" s="43">
        <v>1585.3672606800001</v>
      </c>
      <c r="P15" s="43">
        <v>1653.76412121</v>
      </c>
      <c r="Q15" s="43">
        <v>1620.5644923100001</v>
      </c>
      <c r="R15" s="43">
        <v>997.60047051000004</v>
      </c>
      <c r="S15" s="43">
        <v>1626.77117481</v>
      </c>
      <c r="T15" s="43">
        <v>1833.6535921499999</v>
      </c>
      <c r="U15" s="43">
        <v>2090.7579150900001</v>
      </c>
      <c r="V15" s="43">
        <v>2315.6536140500002</v>
      </c>
      <c r="W15" s="43">
        <v>2394.4823314800001</v>
      </c>
      <c r="X15" s="43">
        <v>2510.0055527200002</v>
      </c>
      <c r="Y15" s="43">
        <v>2866.9482981000001</v>
      </c>
      <c r="Z15" s="43">
        <v>2751.53932562</v>
      </c>
      <c r="AA15" s="43">
        <v>2738.2791501500001</v>
      </c>
      <c r="AB15" s="43">
        <v>2765.8501615199998</v>
      </c>
      <c r="AC15" s="43">
        <v>2764.8532404600001</v>
      </c>
      <c r="AD15" s="43">
        <v>2721.9539654199998</v>
      </c>
      <c r="AE15" s="43">
        <v>2750.7493128199999</v>
      </c>
      <c r="AF15" s="43">
        <v>2732.3890480300001</v>
      </c>
      <c r="AG15" s="43">
        <v>2817.9896453000001</v>
      </c>
      <c r="AH15" s="43">
        <v>3165.5684216999998</v>
      </c>
      <c r="AI15" s="43">
        <v>3733.8442365699998</v>
      </c>
      <c r="AJ15" s="43">
        <v>4061.9842708599999</v>
      </c>
      <c r="AK15" s="43">
        <v>4716.68840843</v>
      </c>
      <c r="AL15" s="43">
        <v>4517.79635813</v>
      </c>
      <c r="AM15" s="43">
        <v>4429.2551020999999</v>
      </c>
      <c r="AN15" s="43">
        <v>4412.1929503499996</v>
      </c>
      <c r="AO15" s="43">
        <v>4556.1238499700003</v>
      </c>
      <c r="AP15" s="43">
        <v>4757.4662162000004</v>
      </c>
      <c r="AQ15" s="43">
        <v>5145.8122913300003</v>
      </c>
      <c r="AR15" s="43">
        <v>5404.4989675200004</v>
      </c>
      <c r="AS15" s="43">
        <v>5679.9290295500005</v>
      </c>
      <c r="AT15" s="43">
        <v>6256.1929848299997</v>
      </c>
      <c r="AU15" s="43">
        <v>6393.0568066300002</v>
      </c>
      <c r="AV15" s="43">
        <v>6754.6446397299997</v>
      </c>
      <c r="AW15" s="43">
        <v>11733.839516489999</v>
      </c>
      <c r="AX15" s="43">
        <v>11555.91330631</v>
      </c>
      <c r="AY15" s="43">
        <v>11254.45985282</v>
      </c>
      <c r="AZ15" s="43">
        <v>11243.46461348</v>
      </c>
      <c r="BA15" s="43">
        <v>10908.81365688</v>
      </c>
      <c r="BB15" s="43">
        <v>10812.23086489</v>
      </c>
      <c r="BC15" s="43">
        <v>11211.62640406</v>
      </c>
      <c r="BD15" s="43">
        <v>11419.992180560001</v>
      </c>
      <c r="BE15" s="43">
        <v>16561.297509510001</v>
      </c>
      <c r="BF15" s="43">
        <v>20177.081492699999</v>
      </c>
      <c r="BG15" s="43">
        <v>22482.896015580001</v>
      </c>
      <c r="BH15" s="43">
        <v>25343.354978150001</v>
      </c>
      <c r="BI15" s="43">
        <v>27036.728448580001</v>
      </c>
      <c r="BJ15" s="43">
        <v>27430.901758889999</v>
      </c>
      <c r="BK15" s="42">
        <v>27186.618049679993</v>
      </c>
      <c r="BL15" s="43">
        <v>26974.475092920002</v>
      </c>
      <c r="BM15" s="43">
        <v>26920.114623239999</v>
      </c>
      <c r="BN15" s="43">
        <v>26822.578824290002</v>
      </c>
      <c r="BO15" s="43">
        <v>26213.794748470002</v>
      </c>
      <c r="BP15" s="43">
        <v>28361.97109843</v>
      </c>
      <c r="BQ15" s="43">
        <v>28218.468537889999</v>
      </c>
      <c r="BR15" s="43">
        <v>27092.757205239999</v>
      </c>
      <c r="BS15" s="43">
        <v>26359.915696610002</v>
      </c>
      <c r="BT15" s="43">
        <v>25984.493399610001</v>
      </c>
      <c r="BU15" s="43">
        <v>24799.56079661</v>
      </c>
      <c r="BV15" s="43">
        <v>24227.35302052</v>
      </c>
      <c r="BW15" s="43">
        <v>23459.037519199999</v>
      </c>
      <c r="BX15" s="43">
        <v>22657.031170909999</v>
      </c>
      <c r="BY15" s="43">
        <v>21998.282765249998</v>
      </c>
      <c r="BZ15" s="43">
        <v>21231.734286129999</v>
      </c>
      <c r="CA15" s="43">
        <v>20826.697552649999</v>
      </c>
      <c r="CB15" s="43">
        <v>20410.54403203</v>
      </c>
      <c r="CC15" s="43">
        <v>20254.273758349998</v>
      </c>
      <c r="CD15" s="43">
        <v>19687.714304270001</v>
      </c>
      <c r="CE15" s="43">
        <v>19005.980545890001</v>
      </c>
      <c r="CF15" s="43">
        <v>18187.610148930002</v>
      </c>
      <c r="CG15" s="43">
        <v>18361.396494740002</v>
      </c>
      <c r="CH15" s="43">
        <v>17718.159661869999</v>
      </c>
      <c r="CI15" s="43">
        <v>17232.448239730002</v>
      </c>
      <c r="CJ15" s="43">
        <v>17017.556750160002</v>
      </c>
      <c r="CK15" s="43">
        <v>16460.991858900001</v>
      </c>
      <c r="CL15" s="43">
        <v>16205.74565325</v>
      </c>
      <c r="CM15" s="19">
        <v>15722.5479252</v>
      </c>
      <c r="CN15" s="19">
        <v>15244.275807980001</v>
      </c>
      <c r="CO15" s="19">
        <v>14798.463439159999</v>
      </c>
      <c r="CP15" s="19">
        <v>14269.38765241</v>
      </c>
      <c r="CQ15" s="19">
        <v>13744.534456109999</v>
      </c>
      <c r="CR15" s="19">
        <v>13311.022376090001</v>
      </c>
      <c r="CS15" s="19">
        <v>13150.77730874</v>
      </c>
      <c r="CT15" s="19">
        <v>12418.05093931</v>
      </c>
      <c r="CU15" s="19">
        <v>11700.64021209</v>
      </c>
      <c r="CV15" s="19">
        <v>11157.739153820001</v>
      </c>
      <c r="CW15" s="19">
        <v>10608.734646299999</v>
      </c>
      <c r="CX15" s="19">
        <v>10544.610174539999</v>
      </c>
      <c r="CY15" s="19">
        <v>10086.808929520001</v>
      </c>
      <c r="CZ15" s="19">
        <v>9813.2607021399999</v>
      </c>
      <c r="DA15" s="19">
        <v>9397.74438448</v>
      </c>
      <c r="DB15" s="19">
        <v>9151.0619712999996</v>
      </c>
      <c r="DC15" s="19">
        <v>8853.7697584699999</v>
      </c>
      <c r="DD15" s="19">
        <v>8462.1649670999996</v>
      </c>
      <c r="DE15" s="19">
        <v>8684.92062773</v>
      </c>
      <c r="DF15" s="19">
        <v>8101.37943696</v>
      </c>
      <c r="DG15" s="19">
        <v>7390.4957251899996</v>
      </c>
    </row>
    <row r="16" spans="1:111" s="30" customFormat="1" x14ac:dyDescent="0.3">
      <c r="A16" s="31" t="s">
        <v>6</v>
      </c>
      <c r="B16" s="25">
        <v>14.157930310000001</v>
      </c>
      <c r="C16" s="25">
        <v>265.32747592999999</v>
      </c>
      <c r="D16" s="25">
        <v>251.20354227000001</v>
      </c>
      <c r="E16" s="25">
        <v>251.20354227000001</v>
      </c>
      <c r="F16" s="25">
        <v>251.20354227000001</v>
      </c>
      <c r="G16" s="25">
        <v>251.20354227000001</v>
      </c>
      <c r="H16" s="25">
        <v>251.20354227000001</v>
      </c>
      <c r="I16" s="25">
        <v>14.74454227</v>
      </c>
      <c r="J16" s="25">
        <v>10.454621830000001</v>
      </c>
      <c r="K16" s="25">
        <v>10.454621830000001</v>
      </c>
      <c r="L16" s="26">
        <v>10.454621830000001</v>
      </c>
      <c r="M16" s="29">
        <v>10.454621830000001</v>
      </c>
      <c r="N16" s="29">
        <v>75.470316229999995</v>
      </c>
      <c r="O16" s="29">
        <v>75.470316229999995</v>
      </c>
      <c r="P16" s="29">
        <v>950.72116764999998</v>
      </c>
      <c r="Q16" s="29">
        <v>912.75937256999998</v>
      </c>
      <c r="R16" s="29">
        <v>912.68743356000004</v>
      </c>
      <c r="S16" s="29">
        <v>917.13042588999997</v>
      </c>
      <c r="T16" s="29">
        <v>879.02668882</v>
      </c>
      <c r="U16" s="29">
        <v>877.69762087000004</v>
      </c>
      <c r="V16" s="29">
        <v>876.84829873000001</v>
      </c>
      <c r="W16" s="29">
        <v>876.49888693000003</v>
      </c>
      <c r="X16" s="29">
        <v>875.15533061999997</v>
      </c>
      <c r="Y16" s="29">
        <v>837.72679420999998</v>
      </c>
      <c r="Z16" s="29">
        <v>799.69487475000005</v>
      </c>
      <c r="AA16" s="29">
        <v>798.04156810999996</v>
      </c>
      <c r="AB16" s="29">
        <v>799.12513954999997</v>
      </c>
      <c r="AC16" s="29">
        <v>761.12305817000004</v>
      </c>
      <c r="AD16" s="29">
        <v>75.475620890000002</v>
      </c>
      <c r="AE16" s="29">
        <v>75.475954799999997</v>
      </c>
      <c r="AF16" s="29">
        <v>75.476291849999996</v>
      </c>
      <c r="AG16" s="29">
        <v>722.40700244000004</v>
      </c>
      <c r="AH16" s="29">
        <v>721.88341298</v>
      </c>
      <c r="AI16" s="29">
        <v>684.46553057999995</v>
      </c>
      <c r="AJ16" s="29">
        <v>683.32351673000005</v>
      </c>
      <c r="AK16" s="29">
        <v>682.96239288000004</v>
      </c>
      <c r="AL16" s="29">
        <v>644.99616265999998</v>
      </c>
      <c r="AM16" s="29">
        <v>644.41851792</v>
      </c>
      <c r="AN16" s="29">
        <v>643.12246342000003</v>
      </c>
      <c r="AO16" s="29">
        <v>75.888878829999996</v>
      </c>
      <c r="AP16" s="29">
        <v>76.348346489999997</v>
      </c>
      <c r="AQ16" s="29">
        <v>75.481983170000007</v>
      </c>
      <c r="AR16" s="29">
        <v>75.482523979999996</v>
      </c>
      <c r="AS16" s="29">
        <v>273.86784459</v>
      </c>
      <c r="AT16" s="29">
        <v>75.484822649999998</v>
      </c>
      <c r="AU16" s="29">
        <v>0.45116758000000001</v>
      </c>
      <c r="AV16" s="29">
        <v>1.0903313400000001</v>
      </c>
      <c r="AW16" s="29">
        <v>0.30000220999999999</v>
      </c>
      <c r="AX16" s="29">
        <v>0.30000220999999999</v>
      </c>
      <c r="AY16" s="29">
        <v>0.30000220999999999</v>
      </c>
      <c r="AZ16" s="29">
        <v>0.30000220999999999</v>
      </c>
      <c r="BA16" s="29">
        <v>0.30837787999999999</v>
      </c>
      <c r="BB16" s="29">
        <v>0.30000220999999999</v>
      </c>
      <c r="BC16" s="29">
        <v>0.30000220999999999</v>
      </c>
      <c r="BD16" s="29">
        <v>0.30000220999999999</v>
      </c>
      <c r="BE16" s="29">
        <v>0.30000220999999999</v>
      </c>
      <c r="BF16" s="29">
        <v>0.30000220999999999</v>
      </c>
      <c r="BG16" s="29">
        <v>0.30000220999999999</v>
      </c>
      <c r="BH16" s="29">
        <v>0.30000220999999999</v>
      </c>
      <c r="BI16" s="29">
        <v>0.30000220999999999</v>
      </c>
      <c r="BJ16" s="29">
        <v>0.30000220999999999</v>
      </c>
      <c r="BK16" s="29">
        <v>5.7805768199999994</v>
      </c>
      <c r="BL16" s="29">
        <v>0.3</v>
      </c>
      <c r="BM16" s="29">
        <v>231.45668386</v>
      </c>
      <c r="BN16" s="29">
        <v>233.16914327000001</v>
      </c>
      <c r="BO16" s="29">
        <v>236.87399829</v>
      </c>
      <c r="BP16" s="29">
        <v>243.18335773999999</v>
      </c>
      <c r="BQ16" s="29">
        <v>245.57881362000001</v>
      </c>
      <c r="BR16" s="29">
        <v>247.77070900999999</v>
      </c>
      <c r="BS16" s="29">
        <v>240.60254162000001</v>
      </c>
      <c r="BT16" s="29">
        <v>234.19647054000001</v>
      </c>
      <c r="BU16" s="29">
        <v>506.79270117999999</v>
      </c>
      <c r="BV16" s="29">
        <v>509.55537766999998</v>
      </c>
      <c r="BW16" s="29">
        <v>504.84502027000002</v>
      </c>
      <c r="BX16" s="29">
        <v>500.43809933</v>
      </c>
      <c r="BY16" s="29">
        <v>495.58635552999999</v>
      </c>
      <c r="BZ16" s="29">
        <v>469.81595061000002</v>
      </c>
      <c r="CA16" s="29">
        <v>209.16810853000001</v>
      </c>
      <c r="CB16" s="29">
        <v>203.69591403999999</v>
      </c>
      <c r="CC16" s="29">
        <v>202.09312277000001</v>
      </c>
      <c r="CD16" s="29">
        <v>202.49257721999999</v>
      </c>
      <c r="CE16" s="29">
        <v>198.60847272000001</v>
      </c>
      <c r="CF16" s="29">
        <v>196.93752040999999</v>
      </c>
      <c r="CG16" s="29">
        <v>191.33207722</v>
      </c>
      <c r="CH16" s="29">
        <v>186.57911127</v>
      </c>
      <c r="CI16" s="29">
        <v>184.87424271</v>
      </c>
      <c r="CJ16" s="29">
        <v>131.18087209999999</v>
      </c>
      <c r="CK16" s="29">
        <v>129.17400405999999</v>
      </c>
      <c r="CL16" s="29">
        <v>123.96943697</v>
      </c>
      <c r="CM16" s="32">
        <v>116.98997109</v>
      </c>
      <c r="CN16" s="32">
        <v>109.98993994</v>
      </c>
      <c r="CO16" s="32">
        <v>99.396116789999994</v>
      </c>
      <c r="CP16" s="32">
        <v>89.396011279999996</v>
      </c>
      <c r="CQ16" s="32">
        <v>77.747502990000001</v>
      </c>
      <c r="CR16" s="32">
        <v>67.471183269999997</v>
      </c>
      <c r="CS16" s="32">
        <v>67.470655219999998</v>
      </c>
      <c r="CT16" s="32">
        <v>48.470963519999998</v>
      </c>
      <c r="CU16" s="32">
        <v>13.18141106</v>
      </c>
      <c r="CV16" s="32">
        <v>31.20503038</v>
      </c>
      <c r="CW16" s="32">
        <v>25.583274769999999</v>
      </c>
      <c r="CX16" s="32">
        <v>25.57185557</v>
      </c>
      <c r="CY16" s="32">
        <v>25.566145980000002</v>
      </c>
      <c r="CZ16" s="32">
        <v>20.159336270000001</v>
      </c>
      <c r="DA16" s="32">
        <v>20.16022718</v>
      </c>
      <c r="DB16" s="32">
        <v>20.154453950000001</v>
      </c>
      <c r="DC16" s="32">
        <v>20.16022718</v>
      </c>
      <c r="DD16" s="32">
        <v>20.154453950000001</v>
      </c>
      <c r="DE16" s="32">
        <v>13.027264000000001</v>
      </c>
      <c r="DF16" s="32">
        <v>11.372381880000001</v>
      </c>
      <c r="DG16" s="32">
        <v>9.5088387700000006</v>
      </c>
    </row>
    <row r="17" spans="1:113" s="40" customFormat="1" x14ac:dyDescent="0.3">
      <c r="A17" s="33" t="s">
        <v>7</v>
      </c>
      <c r="B17" s="34">
        <v>11.969949226741708</v>
      </c>
      <c r="C17" s="35">
        <v>19.026313514879206</v>
      </c>
      <c r="D17" s="34">
        <v>18.192084316701006</v>
      </c>
      <c r="E17" s="34">
        <v>18.801817467029231</v>
      </c>
      <c r="F17" s="34">
        <v>18.770287041886046</v>
      </c>
      <c r="G17" s="34">
        <v>18.786406522601908</v>
      </c>
      <c r="H17" s="34">
        <v>19.382004979645441</v>
      </c>
      <c r="I17" s="34">
        <v>1.391435216055811</v>
      </c>
      <c r="J17" s="34">
        <v>0.99093423780933043</v>
      </c>
      <c r="K17" s="34">
        <v>1.0309217016621199</v>
      </c>
      <c r="L17" s="44">
        <v>1.0311757144350699</v>
      </c>
      <c r="M17" s="34">
        <v>0.68813788352742</v>
      </c>
      <c r="N17" s="44">
        <v>4.8037887306594298</v>
      </c>
      <c r="O17" s="44">
        <v>4.76043110652033</v>
      </c>
      <c r="P17" s="44">
        <v>57.488317436369996</v>
      </c>
      <c r="Q17" s="44">
        <v>56.323545091928203</v>
      </c>
      <c r="R17" s="44">
        <v>91.4882721630444</v>
      </c>
      <c r="S17" s="44">
        <v>56.3773467400611</v>
      </c>
      <c r="T17" s="44">
        <v>47.938536078088902</v>
      </c>
      <c r="U17" s="44">
        <v>41.979877944511699</v>
      </c>
      <c r="V17" s="44">
        <v>37.866125287901802</v>
      </c>
      <c r="W17" s="44">
        <v>36.604942763902002</v>
      </c>
      <c r="X17" s="44">
        <v>34.866669106433903</v>
      </c>
      <c r="Y17" s="44">
        <v>29.220157013824899</v>
      </c>
      <c r="Z17" s="44">
        <v>29.063545169204701</v>
      </c>
      <c r="AA17" s="44">
        <v>29.143908431186901</v>
      </c>
      <c r="AB17" s="44">
        <v>28.892568030902801</v>
      </c>
      <c r="AC17" s="44">
        <v>27.5285156923327</v>
      </c>
      <c r="AD17" s="44">
        <v>2.7728470741551998</v>
      </c>
      <c r="AE17" s="44">
        <v>2.7438325422182501</v>
      </c>
      <c r="AF17" s="44">
        <v>2.76228203682843</v>
      </c>
      <c r="AG17" s="44">
        <v>25.635544958260301</v>
      </c>
      <c r="AH17" s="44">
        <v>22.804227134421801</v>
      </c>
      <c r="AI17" s="44">
        <v>18.331389506723699</v>
      </c>
      <c r="AJ17" s="44">
        <v>16.8224067639072</v>
      </c>
      <c r="AK17" s="44">
        <v>14.479701301857499</v>
      </c>
      <c r="AL17" s="44">
        <v>14.2767869892873</v>
      </c>
      <c r="AM17" s="44">
        <v>14.549139822957301</v>
      </c>
      <c r="AN17" s="44">
        <v>14.576027627463199</v>
      </c>
      <c r="AO17" s="44">
        <v>1.66564565251008</v>
      </c>
      <c r="AP17" s="44">
        <v>1.6048111120583599</v>
      </c>
      <c r="AQ17" s="44">
        <v>1.4668623512982999</v>
      </c>
      <c r="AR17" s="44">
        <v>1.39666090110546</v>
      </c>
      <c r="AS17" s="44">
        <v>4.8216772280990599</v>
      </c>
      <c r="AT17" s="44">
        <v>1.20656160756286</v>
      </c>
      <c r="AU17" s="44">
        <v>7.0571495553130598E-3</v>
      </c>
      <c r="AV17" s="44">
        <v>1.6141949697646599E-2</v>
      </c>
      <c r="AW17" s="44">
        <v>2.5567267182953698E-3</v>
      </c>
      <c r="AX17" s="44">
        <v>2.5960925982041298E-3</v>
      </c>
      <c r="AY17" s="44">
        <v>2.6656295719499098E-3</v>
      </c>
      <c r="AZ17" s="44">
        <v>2.6682363516341901E-3</v>
      </c>
      <c r="BA17" s="44">
        <v>2.8268690776059899E-3</v>
      </c>
      <c r="BB17" s="44">
        <v>2.7746559775576199E-3</v>
      </c>
      <c r="BC17" s="44">
        <v>2.6758134742285201E-3</v>
      </c>
      <c r="BD17" s="44">
        <v>2.6269913784239501E-3</v>
      </c>
      <c r="BE17" s="44">
        <v>1.81146561631255E-3</v>
      </c>
      <c r="BF17" s="44">
        <v>1.4868464009948101E-3</v>
      </c>
      <c r="BG17" s="44">
        <v>1.3343575035533999E-3</v>
      </c>
      <c r="BH17" s="44">
        <v>1.1837509684832601E-3</v>
      </c>
      <c r="BI17" s="44">
        <v>1.1096098796515299E-3</v>
      </c>
      <c r="BJ17" s="44">
        <v>1.0936651395456699E-3</v>
      </c>
      <c r="BK17" s="39">
        <v>2.1262581500342374E-2</v>
      </c>
      <c r="BL17" s="44">
        <v>1.11216251277023E-3</v>
      </c>
      <c r="BM17" s="44">
        <v>0.859790855645855</v>
      </c>
      <c r="BN17" s="44">
        <v>0.86930173566624602</v>
      </c>
      <c r="BO17" s="44">
        <v>0.90362345689696599</v>
      </c>
      <c r="BP17" s="44">
        <v>0.85742756346529703</v>
      </c>
      <c r="BQ17" s="44">
        <v>0.87027690142096903</v>
      </c>
      <c r="BR17" s="44">
        <v>0.91452747733655804</v>
      </c>
      <c r="BS17" s="44">
        <v>0.91275914683954196</v>
      </c>
      <c r="BT17" s="44">
        <v>0.90129319413060105</v>
      </c>
      <c r="BU17" s="44">
        <v>2.0435551473527598</v>
      </c>
      <c r="BV17" s="44">
        <v>2.1032234814856499</v>
      </c>
      <c r="BW17" s="44">
        <v>2.1520278479320001</v>
      </c>
      <c r="BX17" s="44">
        <v>2.2087540753023598</v>
      </c>
      <c r="BY17" s="44">
        <v>2.2528411004556301</v>
      </c>
      <c r="BZ17" s="44">
        <v>2.2128006326685998</v>
      </c>
      <c r="CA17" s="44">
        <v>1.00432681658348</v>
      </c>
      <c r="CB17" s="44">
        <v>0.99799355529349298</v>
      </c>
      <c r="CC17" s="44">
        <v>0.99778014843255203</v>
      </c>
      <c r="CD17" s="44">
        <v>1.02852252978946</v>
      </c>
      <c r="CE17" s="44">
        <v>1.0449788277982199</v>
      </c>
      <c r="CF17" s="44">
        <v>1.0828114238064801</v>
      </c>
      <c r="CG17" s="44">
        <v>1.0420344513273301</v>
      </c>
      <c r="CH17" s="44">
        <v>1.0530388868293299</v>
      </c>
      <c r="CI17" s="44">
        <v>1.0728263340073001</v>
      </c>
      <c r="CJ17" s="44">
        <v>0.77085608719222598</v>
      </c>
      <c r="CK17" s="44">
        <v>0.78472795058311895</v>
      </c>
      <c r="CL17" s="44">
        <v>0.76497212545809901</v>
      </c>
      <c r="CM17" s="44">
        <v>0.74409040854306596</v>
      </c>
      <c r="CN17" s="44">
        <v>0.72151633390431702</v>
      </c>
      <c r="CO17" s="44">
        <v>0.67166511711598298</v>
      </c>
      <c r="CP17" s="44">
        <v>0.62648806982899297</v>
      </c>
      <c r="CQ17" s="44">
        <v>0.56566123238490695</v>
      </c>
      <c r="CR17" s="44">
        <v>0.50688205130806097</v>
      </c>
      <c r="CS17" s="44">
        <v>0.51305450344109405</v>
      </c>
      <c r="CT17" s="44">
        <v>0.39032666041466002</v>
      </c>
      <c r="CU17" s="44">
        <v>0.112655468598889</v>
      </c>
      <c r="CV17" s="44">
        <v>0.27967162477818402</v>
      </c>
      <c r="CW17" s="44">
        <v>0.24115293315327299</v>
      </c>
      <c r="CX17" s="44">
        <v>0.24251115163786099</v>
      </c>
      <c r="CY17" s="44">
        <v>0.25346119033917902</v>
      </c>
      <c r="CZ17" s="44">
        <v>0.20542953949652901</v>
      </c>
      <c r="DA17" s="44">
        <v>0.21452197841530801</v>
      </c>
      <c r="DB17" s="44">
        <v>0.220241694496326</v>
      </c>
      <c r="DC17" s="44">
        <v>0.227702184831649</v>
      </c>
      <c r="DD17" s="44">
        <v>0.23817136664622299</v>
      </c>
      <c r="DE17" s="44">
        <v>0.14999865350991701</v>
      </c>
      <c r="DF17" s="44">
        <v>0.14037587016498801</v>
      </c>
      <c r="DG17" s="44">
        <v>0.128663071106175</v>
      </c>
    </row>
    <row r="18" spans="1:113" s="55" customFormat="1" x14ac:dyDescent="0.3">
      <c r="A18" s="50" t="s">
        <v>11</v>
      </c>
      <c r="B18" s="51">
        <v>823614.1700783805</v>
      </c>
      <c r="C18" s="52">
        <v>1036198.3928784396</v>
      </c>
      <c r="D18" s="51">
        <v>1032220.6289607096</v>
      </c>
      <c r="E18" s="51">
        <v>1005572.9310953716</v>
      </c>
      <c r="F18" s="51">
        <v>1016961.5576051821</v>
      </c>
      <c r="G18" s="51">
        <v>1017555.4502392479</v>
      </c>
      <c r="H18" s="51">
        <v>1020014.7077547205</v>
      </c>
      <c r="I18" s="51">
        <v>1022648.5283178709</v>
      </c>
      <c r="J18" s="53">
        <v>1042275.6827756279</v>
      </c>
      <c r="K18" s="53">
        <v>1055464.0814209699</v>
      </c>
      <c r="L18" s="53">
        <v>1057547.3452365799</v>
      </c>
      <c r="M18" s="51">
        <v>1090913.9849443401</v>
      </c>
      <c r="N18" s="53">
        <v>1129103.86459025</v>
      </c>
      <c r="O18" s="53">
        <v>1112904.7748120099</v>
      </c>
      <c r="P18" s="53">
        <v>1117339.7122655001</v>
      </c>
      <c r="Q18" s="53">
        <v>1118777.4623765899</v>
      </c>
      <c r="R18" s="53">
        <v>1120933.4036495199</v>
      </c>
      <c r="S18" s="53">
        <v>1124607.9767563101</v>
      </c>
      <c r="T18" s="53">
        <v>1146459.0831307599</v>
      </c>
      <c r="U18" s="53">
        <v>1191835.4683690399</v>
      </c>
      <c r="V18" s="53">
        <v>1220435.3308973301</v>
      </c>
      <c r="W18" s="53">
        <v>1221280.31681579</v>
      </c>
      <c r="X18" s="53">
        <v>1236725.03844252</v>
      </c>
      <c r="Y18" s="53">
        <v>1193558.43937117</v>
      </c>
      <c r="Z18" s="53">
        <v>1189209.68626742</v>
      </c>
      <c r="AA18" s="53">
        <v>1162458.59716346</v>
      </c>
      <c r="AB18" s="53">
        <v>1181707.1818844201</v>
      </c>
      <c r="AC18" s="53">
        <v>1165796.09726481</v>
      </c>
      <c r="AD18" s="53">
        <v>1148065.4237458899</v>
      </c>
      <c r="AE18" s="53">
        <v>1144943.3307801499</v>
      </c>
      <c r="AF18" s="53">
        <v>1136897.7864004399</v>
      </c>
      <c r="AG18" s="53">
        <v>1147669.70896641</v>
      </c>
      <c r="AH18" s="53">
        <v>1118303.9933410401</v>
      </c>
      <c r="AI18" s="53">
        <v>1144794.40502756</v>
      </c>
      <c r="AJ18" s="53">
        <v>1127014.9401994599</v>
      </c>
      <c r="AK18" s="53">
        <v>1097594.5979197701</v>
      </c>
      <c r="AL18" s="53">
        <v>1109264.38210869</v>
      </c>
      <c r="AM18" s="53">
        <v>1106651.04022315</v>
      </c>
      <c r="AN18" s="53">
        <v>1176221.54734774</v>
      </c>
      <c r="AO18" s="53">
        <v>1140558.8074833001</v>
      </c>
      <c r="AP18" s="53">
        <v>1131837.6431545201</v>
      </c>
      <c r="AQ18" s="53">
        <v>1106385.64990351</v>
      </c>
      <c r="AR18" s="53">
        <v>1137056.87500699</v>
      </c>
      <c r="AS18" s="53">
        <v>1139828.5947752199</v>
      </c>
      <c r="AT18" s="53">
        <v>1119707.6204085799</v>
      </c>
      <c r="AU18" s="53">
        <v>1088156.3356820899</v>
      </c>
      <c r="AV18" s="53">
        <v>1068928.88316046</v>
      </c>
      <c r="AW18" s="53">
        <v>1049579.47437442</v>
      </c>
      <c r="AX18" s="53">
        <v>1057738.64069696</v>
      </c>
      <c r="AY18" s="53">
        <v>1058922.3191772499</v>
      </c>
      <c r="AZ18" s="53">
        <v>1058229.7855336899</v>
      </c>
      <c r="BA18" s="53">
        <v>1076383.2027767401</v>
      </c>
      <c r="BB18" s="53">
        <v>1079238.6650276701</v>
      </c>
      <c r="BC18" s="53">
        <v>1090643.48925366</v>
      </c>
      <c r="BD18" s="53">
        <v>1090426.64688406</v>
      </c>
      <c r="BE18" s="53">
        <v>1123711.75244145</v>
      </c>
      <c r="BF18" s="53">
        <v>1125677.2278439801</v>
      </c>
      <c r="BG18" s="53">
        <v>1139349.1515698701</v>
      </c>
      <c r="BH18" s="53">
        <v>1162403.8886953299</v>
      </c>
      <c r="BI18" s="53">
        <v>1149566.6572000899</v>
      </c>
      <c r="BJ18" s="53">
        <v>1189163.5498311899</v>
      </c>
      <c r="BK18" s="54">
        <v>1147643.52744743</v>
      </c>
      <c r="BL18" s="53">
        <v>1131438.91447981</v>
      </c>
      <c r="BM18" s="53">
        <v>1132120.6742392399</v>
      </c>
      <c r="BN18" s="53">
        <v>1148429.05115621</v>
      </c>
      <c r="BO18" s="53">
        <v>1142502.48211818</v>
      </c>
      <c r="BP18" s="53">
        <v>1211679.3006540299</v>
      </c>
      <c r="BQ18" s="53">
        <v>1198285.18298831</v>
      </c>
      <c r="BR18" s="53">
        <v>1186914.3835121901</v>
      </c>
      <c r="BS18" s="53">
        <v>1174864.8066152399</v>
      </c>
      <c r="BT18" s="53">
        <v>1168920.3115069801</v>
      </c>
      <c r="BU18" s="53">
        <v>1133562.7783697201</v>
      </c>
      <c r="BV18" s="53">
        <v>1144776.04402923</v>
      </c>
      <c r="BW18" s="53">
        <v>1131026.5881837199</v>
      </c>
      <c r="BX18" s="53">
        <v>1119038.7252422899</v>
      </c>
      <c r="BY18" s="53">
        <v>1107938.33603331</v>
      </c>
      <c r="BZ18" s="53">
        <v>1094744.1117487401</v>
      </c>
      <c r="CA18" s="53">
        <v>1091910.9886171401</v>
      </c>
      <c r="CB18" s="53">
        <v>1095893.1793217901</v>
      </c>
      <c r="CC18" s="53">
        <v>1108195.8233604799</v>
      </c>
      <c r="CD18" s="53">
        <v>1115576.3480416599</v>
      </c>
      <c r="CE18" s="53">
        <v>1127846.3852967599</v>
      </c>
      <c r="CF18" s="53">
        <v>1144254.8678263901</v>
      </c>
      <c r="CG18" s="53">
        <v>1130774.2982793499</v>
      </c>
      <c r="CH18" s="53">
        <v>1144148.1462083801</v>
      </c>
      <c r="CI18" s="53">
        <v>1146982.7340645001</v>
      </c>
      <c r="CJ18" s="53">
        <v>1165402.9218989599</v>
      </c>
      <c r="CK18" s="53">
        <v>1183130.7127185699</v>
      </c>
      <c r="CL18" s="53">
        <v>1202599.7911328201</v>
      </c>
      <c r="CM18" s="51">
        <v>1209604.60266095</v>
      </c>
      <c r="CN18" s="51">
        <v>1230923.3859059301</v>
      </c>
      <c r="CO18" s="51">
        <v>1257996.52491823</v>
      </c>
      <c r="CP18" s="51">
        <v>1284917.31505029</v>
      </c>
      <c r="CQ18" s="51">
        <v>1280201.13331081</v>
      </c>
      <c r="CR18" s="51">
        <v>1317739.68256392</v>
      </c>
      <c r="CS18" s="51">
        <v>1298250.3723253501</v>
      </c>
      <c r="CT18" s="51">
        <v>1305241.32797814</v>
      </c>
      <c r="CU18" s="51">
        <v>1321017.70576298</v>
      </c>
      <c r="CV18" s="51">
        <v>1338970.93513463</v>
      </c>
      <c r="CW18" s="51">
        <v>1360715.8257721399</v>
      </c>
      <c r="CX18" s="51">
        <v>1380756.50684504</v>
      </c>
      <c r="CY18" s="51">
        <v>1431934.6750302999</v>
      </c>
      <c r="CZ18" s="51">
        <v>1447893.5087041401</v>
      </c>
      <c r="DA18" s="51">
        <v>1481744.41007736</v>
      </c>
      <c r="DB18" s="51">
        <v>1480435.1835686101</v>
      </c>
      <c r="DC18" s="51">
        <v>1514630.93480839</v>
      </c>
      <c r="DD18" s="51">
        <v>1555001.0324645899</v>
      </c>
      <c r="DE18" s="51">
        <v>1359737.59462469</v>
      </c>
      <c r="DF18" s="51">
        <v>1381679.2905973401</v>
      </c>
      <c r="DG18" s="51">
        <v>1431917.21011883</v>
      </c>
    </row>
    <row r="19" spans="1:113" s="63" customFormat="1" x14ac:dyDescent="0.3">
      <c r="A19" s="57" t="s">
        <v>12</v>
      </c>
      <c r="B19" s="58"/>
      <c r="C19" s="59"/>
      <c r="D19" s="58"/>
      <c r="E19" s="58"/>
      <c r="F19" s="58"/>
      <c r="G19" s="58"/>
      <c r="H19" s="58"/>
      <c r="I19" s="58"/>
      <c r="J19" s="60"/>
      <c r="K19" s="60"/>
      <c r="L19" s="60"/>
      <c r="M19" s="58"/>
      <c r="N19" s="61"/>
      <c r="O19" s="62"/>
      <c r="P19" s="62"/>
      <c r="Q19" s="62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57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</row>
    <row r="20" spans="1:113" s="63" customFormat="1" x14ac:dyDescent="0.3">
      <c r="A20" s="64" t="s">
        <v>13</v>
      </c>
      <c r="B20" s="65">
        <v>256393.89831203001</v>
      </c>
      <c r="C20" s="65">
        <v>482094.12559727987</v>
      </c>
      <c r="D20" s="65">
        <v>484226.43022772984</v>
      </c>
      <c r="E20" s="65">
        <v>483855.88108006993</v>
      </c>
      <c r="F20" s="65">
        <v>482925.71241261024</v>
      </c>
      <c r="G20" s="65">
        <v>492134.09357805009</v>
      </c>
      <c r="H20" s="65">
        <v>495069.48716550018</v>
      </c>
      <c r="I20" s="65">
        <v>500067.1422511501</v>
      </c>
      <c r="J20" s="60">
        <v>508890.06763541984</v>
      </c>
      <c r="K20" s="60">
        <v>517811.80193267</v>
      </c>
      <c r="L20" s="60">
        <v>521636.40268745</v>
      </c>
      <c r="M20" s="65">
        <v>558974.01347350003</v>
      </c>
      <c r="N20" s="66">
        <v>576471.09233740997</v>
      </c>
      <c r="O20" s="67">
        <v>568840.21263368998</v>
      </c>
      <c r="P20" s="66">
        <v>574410.55159689998</v>
      </c>
      <c r="Q20" s="66">
        <v>575729.53254408995</v>
      </c>
      <c r="R20" s="68">
        <v>575648.69787137001</v>
      </c>
      <c r="S20" s="68">
        <v>581045.60436561995</v>
      </c>
      <c r="T20" s="68">
        <v>592475.01154111</v>
      </c>
      <c r="U20" s="68">
        <v>613951.22466350999</v>
      </c>
      <c r="V20" s="68">
        <v>632195.19060563005</v>
      </c>
      <c r="W20" s="68">
        <v>633711.86447878997</v>
      </c>
      <c r="X20" s="68">
        <v>644249.87816405995</v>
      </c>
      <c r="Y20" s="68">
        <v>643564.09521673003</v>
      </c>
      <c r="Z20" s="68">
        <v>640927.51768806996</v>
      </c>
      <c r="AA20" s="68">
        <v>637639.07889712998</v>
      </c>
      <c r="AB20" s="68">
        <v>647005.45045557001</v>
      </c>
      <c r="AC20" s="68">
        <v>631769.82772967999</v>
      </c>
      <c r="AD20" s="68">
        <v>634040.60524641001</v>
      </c>
      <c r="AE20" s="68">
        <v>634671.27072973002</v>
      </c>
      <c r="AF20" s="68">
        <v>632763.48764920002</v>
      </c>
      <c r="AG20" s="68">
        <v>637188.17096794001</v>
      </c>
      <c r="AH20" s="68">
        <v>627530.35892072995</v>
      </c>
      <c r="AI20" s="68">
        <v>646546.23600230995</v>
      </c>
      <c r="AJ20" s="68">
        <v>635434.31323165004</v>
      </c>
      <c r="AK20" s="68">
        <v>624855.89498277998</v>
      </c>
      <c r="AL20" s="68">
        <v>637240.31399472</v>
      </c>
      <c r="AM20" s="68">
        <v>632997.82949028001</v>
      </c>
      <c r="AN20" s="68">
        <v>658124.13983301003</v>
      </c>
      <c r="AO20" s="68">
        <v>642328.47112636</v>
      </c>
      <c r="AP20" s="68">
        <v>641616.04764491995</v>
      </c>
      <c r="AQ20" s="68">
        <v>619093.08005284995</v>
      </c>
      <c r="AR20" s="68">
        <v>625209.41318640998</v>
      </c>
      <c r="AS20" s="68">
        <v>623211.30675993999</v>
      </c>
      <c r="AT20" s="68">
        <v>608498.29221623996</v>
      </c>
      <c r="AU20" s="68">
        <v>578353.19290402997</v>
      </c>
      <c r="AV20" s="68">
        <v>552690.84746345005</v>
      </c>
      <c r="AW20" s="68">
        <v>540326.42032435001</v>
      </c>
      <c r="AX20" s="68">
        <v>546996.57674384001</v>
      </c>
      <c r="AY20" s="68">
        <v>547628.32439266995</v>
      </c>
      <c r="AZ20" s="68">
        <v>544447.49211533996</v>
      </c>
      <c r="BA20" s="68">
        <v>546070.11338144995</v>
      </c>
      <c r="BB20" s="68">
        <v>540064.21895042004</v>
      </c>
      <c r="BC20" s="68">
        <v>541497.87689057004</v>
      </c>
      <c r="BD20" s="68">
        <v>538719.19512456004</v>
      </c>
      <c r="BE20" s="68">
        <v>554529.15514196001</v>
      </c>
      <c r="BF20" s="68">
        <v>543679.09279756004</v>
      </c>
      <c r="BG20" s="68">
        <v>546797.67951685004</v>
      </c>
      <c r="BH20" s="68">
        <v>543341.12377336004</v>
      </c>
      <c r="BI20" s="68">
        <v>539402.60982788005</v>
      </c>
      <c r="BJ20" s="68">
        <v>557426.73373970995</v>
      </c>
      <c r="BK20" s="57">
        <v>559338.82634029991</v>
      </c>
      <c r="BL20" s="68">
        <v>560334.12985888997</v>
      </c>
      <c r="BM20" s="68">
        <v>569327.42496509</v>
      </c>
      <c r="BN20" s="68">
        <v>587848.14918771002</v>
      </c>
      <c r="BO20" s="68">
        <v>592643.3607506</v>
      </c>
      <c r="BP20" s="68">
        <v>641811.40576520003</v>
      </c>
      <c r="BQ20" s="68">
        <v>631924.44112305995</v>
      </c>
      <c r="BR20" s="68">
        <v>635274.25195773004</v>
      </c>
      <c r="BS20" s="68">
        <v>627772.91141060996</v>
      </c>
      <c r="BT20" s="68">
        <v>628573.79568636999</v>
      </c>
      <c r="BU20" s="68">
        <v>609131.08726669999</v>
      </c>
      <c r="BV20" s="68">
        <v>624469.26196608995</v>
      </c>
      <c r="BW20" s="68">
        <v>618938.7585008</v>
      </c>
      <c r="BX20" s="68">
        <v>614578.50212969002</v>
      </c>
      <c r="BY20" s="68">
        <v>612742.85956519004</v>
      </c>
      <c r="BZ20" s="68">
        <v>607744.38702130003</v>
      </c>
      <c r="CA20" s="68">
        <v>608984.06301623001</v>
      </c>
      <c r="CB20" s="68">
        <v>679877.64622684999</v>
      </c>
      <c r="CC20" s="68">
        <v>685692.75728645001</v>
      </c>
      <c r="CD20" s="68">
        <v>691631.78351962997</v>
      </c>
      <c r="CE20" s="68">
        <v>700755.81652334996</v>
      </c>
      <c r="CF20" s="68">
        <v>709367.43922066002</v>
      </c>
      <c r="CG20" s="68">
        <v>693215.41063601</v>
      </c>
      <c r="CH20" s="68">
        <v>711254.66305484995</v>
      </c>
      <c r="CI20" s="68">
        <v>710160.38326329004</v>
      </c>
      <c r="CJ20" s="68">
        <v>714299.35314359004</v>
      </c>
      <c r="CK20" s="68">
        <v>728273.79819229001</v>
      </c>
      <c r="CL20" s="68">
        <v>741814.49115550995</v>
      </c>
      <c r="CM20" s="61">
        <v>736040.82144736999</v>
      </c>
      <c r="CN20" s="61">
        <v>743392.30098856997</v>
      </c>
      <c r="CO20" s="61">
        <v>762548.24217287998</v>
      </c>
      <c r="CP20" s="61">
        <v>779900.55761320004</v>
      </c>
      <c r="CQ20" s="61">
        <v>772370.16944126994</v>
      </c>
      <c r="CR20" s="61">
        <v>793304.12610247999</v>
      </c>
      <c r="CS20" s="61">
        <v>769345.72833930003</v>
      </c>
      <c r="CT20" s="61">
        <v>786318.36915835994</v>
      </c>
      <c r="CU20" s="61">
        <v>790459.75367752998</v>
      </c>
      <c r="CV20" s="61">
        <v>797558.65049147001</v>
      </c>
      <c r="CW20" s="61">
        <v>804736.70139151998</v>
      </c>
      <c r="CX20" s="61">
        <v>814372.99814906996</v>
      </c>
      <c r="CY20" s="61">
        <v>858752.63329516002</v>
      </c>
      <c r="CZ20" s="61">
        <v>857765.92310418002</v>
      </c>
      <c r="DA20" s="61">
        <v>867681.06322351994</v>
      </c>
      <c r="DB20" s="61">
        <v>866286.76785112999</v>
      </c>
      <c r="DC20" s="61">
        <v>878499.74617487995</v>
      </c>
      <c r="DD20" s="61">
        <v>902144.61282061005</v>
      </c>
      <c r="DE20" s="61">
        <v>706628.54966652999</v>
      </c>
      <c r="DF20" s="61">
        <v>720518.45456583996</v>
      </c>
      <c r="DG20" s="61">
        <v>756446.50021465996</v>
      </c>
    </row>
    <row r="21" spans="1:113" s="72" customFormat="1" x14ac:dyDescent="0.3">
      <c r="A21" s="67" t="s">
        <v>14</v>
      </c>
      <c r="B21" s="65">
        <v>228825.71319482001</v>
      </c>
      <c r="C21" s="70">
        <v>231674.87498953997</v>
      </c>
      <c r="D21" s="65">
        <v>232373.27199014</v>
      </c>
      <c r="E21" s="65">
        <v>232576.36371254994</v>
      </c>
      <c r="F21" s="65">
        <v>232576.36371254994</v>
      </c>
      <c r="G21" s="65">
        <v>234137.04010010997</v>
      </c>
      <c r="H21" s="65">
        <v>236607.73544155</v>
      </c>
      <c r="I21" s="65">
        <v>239702.36809335995</v>
      </c>
      <c r="J21" s="68">
        <v>242739.67216119004</v>
      </c>
      <c r="K21" s="68">
        <v>242625.99579655001</v>
      </c>
      <c r="L21" s="68">
        <v>244253.79348575999</v>
      </c>
      <c r="M21" s="65">
        <v>269531.77795317001</v>
      </c>
      <c r="N21" s="68">
        <v>272271.16670074</v>
      </c>
      <c r="O21" s="67">
        <v>271771.33117870003</v>
      </c>
      <c r="P21" s="67">
        <v>267928.79392616998</v>
      </c>
      <c r="Q21" s="67">
        <v>268692.45546338003</v>
      </c>
      <c r="R21" s="67">
        <v>269924.95536076999</v>
      </c>
      <c r="S21" s="67">
        <v>272063.36936836003</v>
      </c>
      <c r="T21" s="67">
        <v>274531.26840104</v>
      </c>
      <c r="U21" s="67">
        <v>279506.04819999001</v>
      </c>
      <c r="V21" s="67">
        <v>292514.20143481001</v>
      </c>
      <c r="W21" s="67">
        <v>291046.38226068002</v>
      </c>
      <c r="X21" s="67">
        <v>294929.82528802002</v>
      </c>
      <c r="Y21" s="67">
        <v>293725.44168539002</v>
      </c>
      <c r="Z21" s="67">
        <v>296052.44049446</v>
      </c>
      <c r="AA21" s="67">
        <v>295043.02288502001</v>
      </c>
      <c r="AB21" s="67">
        <v>297689.98998797999</v>
      </c>
      <c r="AC21" s="67">
        <v>297590.59819315001</v>
      </c>
      <c r="AD21" s="67">
        <v>298677.42934898002</v>
      </c>
      <c r="AE21" s="67">
        <v>297850.53902456001</v>
      </c>
      <c r="AF21" s="67">
        <v>296620.49446404999</v>
      </c>
      <c r="AG21" s="67">
        <v>298595.74090550002</v>
      </c>
      <c r="AH21" s="67">
        <v>296822.74617557001</v>
      </c>
      <c r="AI21" s="67">
        <v>305642.13916223001</v>
      </c>
      <c r="AJ21" s="67">
        <v>305957.60552436998</v>
      </c>
      <c r="AK21" s="67">
        <v>305162.59730741999</v>
      </c>
      <c r="AL21" s="67">
        <v>308978.65583465999</v>
      </c>
      <c r="AM21" s="67">
        <v>308762.14415781002</v>
      </c>
      <c r="AN21" s="67">
        <v>316935.31096465001</v>
      </c>
      <c r="AO21" s="67">
        <v>311464.31586418999</v>
      </c>
      <c r="AP21" s="67">
        <v>312282.53644490999</v>
      </c>
      <c r="AQ21" s="67">
        <v>312425.86644340999</v>
      </c>
      <c r="AR21" s="67">
        <v>314593.98175851</v>
      </c>
      <c r="AS21" s="67">
        <v>315318.24845696997</v>
      </c>
      <c r="AT21" s="67">
        <v>312947.76486381999</v>
      </c>
      <c r="AU21" s="67">
        <v>277071.9174188</v>
      </c>
      <c r="AV21" s="67">
        <v>254677.31668610001</v>
      </c>
      <c r="AW21" s="67">
        <v>245013.32147977999</v>
      </c>
      <c r="AX21" s="67">
        <v>245495.15685411001</v>
      </c>
      <c r="AY21" s="67">
        <v>245271.02185257999</v>
      </c>
      <c r="AZ21" s="67">
        <v>245376.28326873999</v>
      </c>
      <c r="BA21" s="67">
        <v>246336.93464965001</v>
      </c>
      <c r="BB21" s="67">
        <v>247791.68345258001</v>
      </c>
      <c r="BC21" s="67">
        <v>248700.2427384</v>
      </c>
      <c r="BD21" s="67">
        <v>248441.65176951</v>
      </c>
      <c r="BE21" s="67">
        <v>250673.54801107</v>
      </c>
      <c r="BF21" s="67">
        <v>249674.26749930001</v>
      </c>
      <c r="BG21" s="67">
        <v>249381.90260341001</v>
      </c>
      <c r="BH21" s="67">
        <v>252553.68707304</v>
      </c>
      <c r="BI21" s="67">
        <v>249620.68876382001</v>
      </c>
      <c r="BJ21" s="67">
        <v>257853.16197762001</v>
      </c>
      <c r="BK21" s="71">
        <v>256430.03337942995</v>
      </c>
      <c r="BL21" s="67">
        <v>253315.18126780001</v>
      </c>
      <c r="BM21" s="67">
        <v>257607.54097860001</v>
      </c>
      <c r="BN21" s="67">
        <v>265129.49449780001</v>
      </c>
      <c r="BO21" s="67">
        <v>263401.84584266</v>
      </c>
      <c r="BP21" s="67">
        <v>267691.62010876997</v>
      </c>
      <c r="BQ21" s="67">
        <v>267284.29025715002</v>
      </c>
      <c r="BR21" s="67">
        <v>266958.73142673</v>
      </c>
      <c r="BS21" s="67">
        <v>265691.85645481001</v>
      </c>
      <c r="BT21" s="67">
        <v>266572.98058742</v>
      </c>
      <c r="BU21" s="67">
        <v>258531.78988143001</v>
      </c>
      <c r="BV21" s="67">
        <v>265666.42773381999</v>
      </c>
      <c r="BW21" s="67">
        <v>264734.20464250998</v>
      </c>
      <c r="BX21" s="67">
        <v>264755.87594318</v>
      </c>
      <c r="BY21" s="67">
        <v>266285.22378722002</v>
      </c>
      <c r="BZ21" s="67">
        <v>269437.23348186002</v>
      </c>
      <c r="CA21" s="67">
        <v>273338.40607373999</v>
      </c>
      <c r="CB21" s="67">
        <v>278551.22198383999</v>
      </c>
      <c r="CC21" s="67">
        <v>283187.86042738002</v>
      </c>
      <c r="CD21" s="67">
        <v>289874.55123287998</v>
      </c>
      <c r="CE21" s="67">
        <v>291598.05846566003</v>
      </c>
      <c r="CF21" s="67">
        <v>295023.56007516</v>
      </c>
      <c r="CG21" s="67">
        <v>285835.70829354</v>
      </c>
      <c r="CH21" s="67">
        <v>300126.86608225998</v>
      </c>
      <c r="CI21" s="67">
        <v>299530.14803456003</v>
      </c>
      <c r="CJ21" s="67">
        <v>295299.32852550002</v>
      </c>
      <c r="CK21" s="67">
        <v>307237.74695255997</v>
      </c>
      <c r="CL21" s="67">
        <v>314748.84206712001</v>
      </c>
      <c r="CM21" s="66">
        <v>305595.96876536001</v>
      </c>
      <c r="CN21" s="66">
        <v>308013.50710276002</v>
      </c>
      <c r="CO21" s="66">
        <v>308567.83048762998</v>
      </c>
      <c r="CP21" s="66">
        <v>321349.30335469998</v>
      </c>
      <c r="CQ21" s="66">
        <v>316420.25144686003</v>
      </c>
      <c r="CR21" s="66">
        <v>321985.01296055998</v>
      </c>
      <c r="CS21" s="66">
        <v>309184.57553202001</v>
      </c>
      <c r="CT21" s="66">
        <v>322726.20883089001</v>
      </c>
      <c r="CU21" s="66">
        <v>322229.70412734</v>
      </c>
      <c r="CV21" s="66">
        <v>325125.34520034998</v>
      </c>
      <c r="CW21" s="66">
        <v>328919.96841754997</v>
      </c>
      <c r="CX21" s="66">
        <v>334644.50307039998</v>
      </c>
      <c r="CY21" s="66">
        <v>365194.92148000002</v>
      </c>
      <c r="CZ21" s="66">
        <v>367028.74009213003</v>
      </c>
      <c r="DA21" s="66">
        <v>369060.59265626001</v>
      </c>
      <c r="DB21" s="66">
        <v>370385.00031113997</v>
      </c>
      <c r="DC21" s="66">
        <v>368529.81734529999</v>
      </c>
      <c r="DD21" s="66">
        <v>377658.36171819002</v>
      </c>
      <c r="DE21" s="66">
        <v>222758.52454956999</v>
      </c>
      <c r="DF21" s="66">
        <v>232604.97699779001</v>
      </c>
      <c r="DG21" s="66">
        <v>242460.48265486999</v>
      </c>
    </row>
    <row r="22" spans="1:113" s="63" customFormat="1" x14ac:dyDescent="0.3">
      <c r="A22" s="62" t="s">
        <v>15</v>
      </c>
      <c r="B22" s="65">
        <v>27568.18511721</v>
      </c>
      <c r="C22" s="65">
        <v>250419.2506077399</v>
      </c>
      <c r="D22" s="65">
        <v>251853.15823758984</v>
      </c>
      <c r="E22" s="65">
        <v>251279.51736751999</v>
      </c>
      <c r="F22" s="65">
        <v>250349.34870006031</v>
      </c>
      <c r="G22" s="65">
        <v>257997.05347794012</v>
      </c>
      <c r="H22" s="65">
        <v>258461.75172395018</v>
      </c>
      <c r="I22" s="65">
        <v>260364.77415779015</v>
      </c>
      <c r="J22" s="60">
        <v>266150.39547422982</v>
      </c>
      <c r="K22" s="60">
        <v>275185.80613611999</v>
      </c>
      <c r="L22" s="60">
        <v>277382.60920169001</v>
      </c>
      <c r="M22" s="65">
        <v>289442.23552033002</v>
      </c>
      <c r="N22" s="66">
        <v>304199.92563666997</v>
      </c>
      <c r="O22" s="67">
        <v>297068.88145498995</v>
      </c>
      <c r="P22" s="67">
        <v>306481.75767073</v>
      </c>
      <c r="Q22" s="67">
        <v>307037.07708070992</v>
      </c>
      <c r="R22" s="67">
        <v>305723.74251060002</v>
      </c>
      <c r="S22" s="67">
        <v>308982.23499725992</v>
      </c>
      <c r="T22" s="67">
        <v>317943.74314007</v>
      </c>
      <c r="U22" s="67">
        <v>334445.17646351998</v>
      </c>
      <c r="V22" s="67">
        <v>339680.98917082004</v>
      </c>
      <c r="W22" s="67">
        <v>342665.48221810994</v>
      </c>
      <c r="X22" s="67">
        <v>349320.05287603993</v>
      </c>
      <c r="Y22" s="67">
        <v>349838.65353134001</v>
      </c>
      <c r="Z22" s="67">
        <v>344875.07719360996</v>
      </c>
      <c r="AA22" s="67">
        <v>342596.05601210997</v>
      </c>
      <c r="AB22" s="67">
        <v>349315.46046759002</v>
      </c>
      <c r="AC22" s="67">
        <v>334179.22953652998</v>
      </c>
      <c r="AD22" s="67">
        <v>335363.17589742999</v>
      </c>
      <c r="AE22" s="67">
        <v>336820.73170517001</v>
      </c>
      <c r="AF22" s="67">
        <v>336142.99318515003</v>
      </c>
      <c r="AG22" s="67">
        <v>338592.43006243999</v>
      </c>
      <c r="AH22" s="67">
        <v>330707.61274515995</v>
      </c>
      <c r="AI22" s="67">
        <v>340904.09684007993</v>
      </c>
      <c r="AJ22" s="67">
        <v>329476.70770728006</v>
      </c>
      <c r="AK22" s="67">
        <v>319693.29767535999</v>
      </c>
      <c r="AL22" s="67">
        <v>328261.65816006</v>
      </c>
      <c r="AM22" s="67">
        <v>324235.68533246999</v>
      </c>
      <c r="AN22" s="67">
        <v>341188.82886836003</v>
      </c>
      <c r="AO22" s="67">
        <v>330864.15526217001</v>
      </c>
      <c r="AP22" s="67">
        <v>329333.51120000996</v>
      </c>
      <c r="AQ22" s="67">
        <v>306667.21360943996</v>
      </c>
      <c r="AR22" s="67">
        <v>310615.43142789998</v>
      </c>
      <c r="AS22" s="67">
        <v>307893.05830297002</v>
      </c>
      <c r="AT22" s="67">
        <v>295550.52735241997</v>
      </c>
      <c r="AU22" s="67">
        <v>301281.27548522997</v>
      </c>
      <c r="AV22" s="67">
        <v>298013.53077735007</v>
      </c>
      <c r="AW22" s="67">
        <v>295313.09884456999</v>
      </c>
      <c r="AX22" s="67">
        <v>301501.41988972999</v>
      </c>
      <c r="AY22" s="67">
        <v>302357.30254008994</v>
      </c>
      <c r="AZ22" s="67">
        <v>299071.20884659997</v>
      </c>
      <c r="BA22" s="67">
        <v>299733.17873179994</v>
      </c>
      <c r="BB22" s="67">
        <v>292272.53549784003</v>
      </c>
      <c r="BC22" s="67">
        <v>292797.63415217004</v>
      </c>
      <c r="BD22" s="67">
        <v>290277.54335505003</v>
      </c>
      <c r="BE22" s="67">
        <v>303855.60713089001</v>
      </c>
      <c r="BF22" s="67">
        <v>294004.82529826002</v>
      </c>
      <c r="BG22" s="67">
        <v>297415.77691344003</v>
      </c>
      <c r="BH22" s="67">
        <v>290787.43670032005</v>
      </c>
      <c r="BI22" s="67">
        <v>289781.92106406006</v>
      </c>
      <c r="BJ22" s="67">
        <v>299573.57176208997</v>
      </c>
      <c r="BK22" s="57">
        <v>302908.79296086996</v>
      </c>
      <c r="BL22" s="67">
        <v>307018.94859108992</v>
      </c>
      <c r="BM22" s="67">
        <v>311719.88398648996</v>
      </c>
      <c r="BN22" s="67">
        <v>322718.65468991001</v>
      </c>
      <c r="BO22" s="67">
        <v>329241.51490794</v>
      </c>
      <c r="BP22" s="67">
        <v>374119.78565643006</v>
      </c>
      <c r="BQ22" s="67">
        <v>364640.15086590993</v>
      </c>
      <c r="BR22" s="67">
        <v>368315.52053100005</v>
      </c>
      <c r="BS22" s="67">
        <v>362081.05495579995</v>
      </c>
      <c r="BT22" s="67">
        <v>362000.81509895</v>
      </c>
      <c r="BU22" s="67">
        <v>350599.29738527001</v>
      </c>
      <c r="BV22" s="67">
        <v>358802.83423226996</v>
      </c>
      <c r="BW22" s="67">
        <v>354204.55385829002</v>
      </c>
      <c r="BX22" s="67">
        <v>349822.62618651002</v>
      </c>
      <c r="BY22" s="67">
        <v>346457.63577797002</v>
      </c>
      <c r="BZ22" s="67">
        <v>338307.15353944001</v>
      </c>
      <c r="CA22" s="67">
        <v>335645.65694249002</v>
      </c>
      <c r="CB22" s="67">
        <v>401326.42424301</v>
      </c>
      <c r="CC22" s="67">
        <v>402504.89685907</v>
      </c>
      <c r="CD22" s="67">
        <v>401757.23228674999</v>
      </c>
      <c r="CE22" s="67">
        <v>409157.75805768993</v>
      </c>
      <c r="CF22" s="67">
        <v>414343.87914550002</v>
      </c>
      <c r="CG22" s="67">
        <v>407379.70234247</v>
      </c>
      <c r="CH22" s="67">
        <v>411127.79697258997</v>
      </c>
      <c r="CI22" s="67">
        <v>410630.23522873002</v>
      </c>
      <c r="CJ22" s="67">
        <v>419000.02461809001</v>
      </c>
      <c r="CK22" s="67">
        <v>421036.05123973003</v>
      </c>
      <c r="CL22" s="67">
        <v>427065.64908838994</v>
      </c>
      <c r="CM22" s="61">
        <v>430444.85268200998</v>
      </c>
      <c r="CN22" s="61">
        <v>435378.79388580995</v>
      </c>
      <c r="CO22" s="61">
        <v>453980.41168525</v>
      </c>
      <c r="CP22" s="61">
        <v>458551.25425850006</v>
      </c>
      <c r="CQ22" s="61">
        <v>455949.91799440992</v>
      </c>
      <c r="CR22" s="61">
        <v>471319.11314192001</v>
      </c>
      <c r="CS22" s="61">
        <v>460161.15280728001</v>
      </c>
      <c r="CT22" s="61">
        <v>463592.16032746993</v>
      </c>
      <c r="CU22" s="61">
        <v>468230.04955018999</v>
      </c>
      <c r="CV22" s="61">
        <v>472433.30529112002</v>
      </c>
      <c r="CW22" s="61">
        <v>475816.73297397001</v>
      </c>
      <c r="CX22" s="61">
        <v>479728.49507866998</v>
      </c>
      <c r="CY22" s="61">
        <v>493557.71181516</v>
      </c>
      <c r="CZ22" s="61">
        <v>490737.18301204999</v>
      </c>
      <c r="DA22" s="61">
        <v>498620.47056725994</v>
      </c>
      <c r="DB22" s="61">
        <v>495901.76753999002</v>
      </c>
      <c r="DC22" s="61">
        <v>509969.92882957996</v>
      </c>
      <c r="DD22" s="61">
        <v>524486.25110242004</v>
      </c>
      <c r="DE22" s="61">
        <v>483870.02511695999</v>
      </c>
      <c r="DF22" s="61">
        <v>487913.47756804992</v>
      </c>
      <c r="DG22" s="61">
        <v>513986.01755978994</v>
      </c>
    </row>
    <row r="23" spans="1:113" s="72" customFormat="1" x14ac:dyDescent="0.3">
      <c r="A23" s="66" t="s">
        <v>16</v>
      </c>
      <c r="B23" s="65">
        <v>413546.8570120199</v>
      </c>
      <c r="C23" s="65">
        <v>408497.54786804004</v>
      </c>
      <c r="D23" s="65">
        <v>402836.35878225008</v>
      </c>
      <c r="E23" s="65">
        <v>398220.70128193952</v>
      </c>
      <c r="F23" s="65">
        <v>388876.93147234007</v>
      </c>
      <c r="G23" s="65">
        <v>382843.16883771971</v>
      </c>
      <c r="H23" s="65">
        <v>381431.36998945952</v>
      </c>
      <c r="I23" s="65">
        <v>378483.43848065013</v>
      </c>
      <c r="J23" s="68">
        <v>386361.10455706029</v>
      </c>
      <c r="K23" s="68">
        <v>389009.69765078003</v>
      </c>
      <c r="L23" s="68">
        <v>385697.85734073998</v>
      </c>
      <c r="M23" s="65">
        <v>382417.39621684002</v>
      </c>
      <c r="N23" s="68">
        <v>401794.40853313002</v>
      </c>
      <c r="O23" s="67">
        <v>394083.84373850998</v>
      </c>
      <c r="P23" s="67">
        <v>392464.63470320002</v>
      </c>
      <c r="Q23" s="67">
        <v>390629.60767626</v>
      </c>
      <c r="R23" s="67">
        <v>392572.51587511</v>
      </c>
      <c r="S23" s="67">
        <v>393673.44590241002</v>
      </c>
      <c r="T23" s="67">
        <v>403162.16227969999</v>
      </c>
      <c r="U23" s="67">
        <v>421518.58517074998</v>
      </c>
      <c r="V23" s="67">
        <v>427117.66919305001</v>
      </c>
      <c r="W23" s="67">
        <v>428848.68607562</v>
      </c>
      <c r="X23" s="67">
        <v>410999.22955069999</v>
      </c>
      <c r="Y23" s="67">
        <v>392682.79803223</v>
      </c>
      <c r="Z23" s="67">
        <v>392406.28593100997</v>
      </c>
      <c r="AA23" s="67">
        <v>370510.03726995998</v>
      </c>
      <c r="AB23" s="67">
        <v>376970.46618281002</v>
      </c>
      <c r="AC23" s="67">
        <v>372751.73933359003</v>
      </c>
      <c r="AD23" s="67">
        <v>374402.84442668001</v>
      </c>
      <c r="AE23" s="67">
        <v>370083.64500115998</v>
      </c>
      <c r="AF23" s="67">
        <v>361987.40467282</v>
      </c>
      <c r="AG23" s="67">
        <v>366073.88479421998</v>
      </c>
      <c r="AH23" s="67">
        <v>349287.24533807999</v>
      </c>
      <c r="AI23" s="67">
        <v>352325.40252632002</v>
      </c>
      <c r="AJ23" s="67">
        <v>347939.43977797002</v>
      </c>
      <c r="AK23" s="67">
        <v>330598.58645526</v>
      </c>
      <c r="AL23" s="67">
        <v>328858.64572059998</v>
      </c>
      <c r="AM23" s="67">
        <v>328204.16834491002</v>
      </c>
      <c r="AN23" s="67">
        <v>363088.29411895003</v>
      </c>
      <c r="AO23" s="67">
        <v>348127.69514428999</v>
      </c>
      <c r="AP23" s="67">
        <v>340904.25326014002</v>
      </c>
      <c r="AQ23" s="67">
        <v>335166.22937772999</v>
      </c>
      <c r="AR23" s="67">
        <v>354955.7125204</v>
      </c>
      <c r="AS23" s="67">
        <v>356362.94769822998</v>
      </c>
      <c r="AT23" s="67">
        <v>347831.78834690002</v>
      </c>
      <c r="AU23" s="67">
        <v>342822.97427536</v>
      </c>
      <c r="AV23" s="67">
        <v>347242.58177306002</v>
      </c>
      <c r="AW23" s="67">
        <v>344205.97854374</v>
      </c>
      <c r="AX23" s="67">
        <v>344257.58717115002</v>
      </c>
      <c r="AY23" s="67">
        <v>341100.24118717998</v>
      </c>
      <c r="AZ23" s="67">
        <v>340699.41961182997</v>
      </c>
      <c r="BA23" s="67">
        <v>352736.13551269</v>
      </c>
      <c r="BB23" s="67">
        <v>355814.37069756002</v>
      </c>
      <c r="BC23" s="67">
        <v>361088.94061629998</v>
      </c>
      <c r="BD23" s="67">
        <v>359631.67269391997</v>
      </c>
      <c r="BE23" s="67">
        <v>372389.94606863998</v>
      </c>
      <c r="BF23" s="67">
        <v>380809.68892330001</v>
      </c>
      <c r="BG23" s="67">
        <v>386324.17627488001</v>
      </c>
      <c r="BH23" s="67">
        <v>407905.43268253998</v>
      </c>
      <c r="BI23" s="67">
        <v>400929.75207922998</v>
      </c>
      <c r="BJ23" s="67">
        <v>416531.45187996002</v>
      </c>
      <c r="BK23" s="73">
        <v>362387.13755198003</v>
      </c>
      <c r="BL23" s="67">
        <v>343475.43038669002</v>
      </c>
      <c r="BM23" s="67">
        <v>339017.06098200002</v>
      </c>
      <c r="BN23" s="67">
        <v>335926.73231960001</v>
      </c>
      <c r="BO23" s="67">
        <v>328512.05566054001</v>
      </c>
      <c r="BP23" s="67">
        <v>346778.52356652002</v>
      </c>
      <c r="BQ23" s="67">
        <v>341889.81515858998</v>
      </c>
      <c r="BR23" s="67">
        <v>329748.59769823001</v>
      </c>
      <c r="BS23" s="67">
        <v>326055.28365554998</v>
      </c>
      <c r="BT23" s="67">
        <v>319390.26766284998</v>
      </c>
      <c r="BU23" s="67">
        <v>315380.81264413998</v>
      </c>
      <c r="BV23" s="67">
        <v>308143.21440494998</v>
      </c>
      <c r="BW23" s="67">
        <v>302410.23913449002</v>
      </c>
      <c r="BX23" s="67">
        <v>296675.99960817001</v>
      </c>
      <c r="BY23" s="67">
        <v>286738.73077985999</v>
      </c>
      <c r="BZ23" s="67">
        <v>276674.78590313997</v>
      </c>
      <c r="CA23" s="67">
        <v>271854.60537013999</v>
      </c>
      <c r="CB23" s="67">
        <v>202501.49055135</v>
      </c>
      <c r="CC23" s="67">
        <v>202882.22977383999</v>
      </c>
      <c r="CD23" s="67">
        <v>205362.83903839</v>
      </c>
      <c r="CE23" s="67">
        <v>205399.88955421001</v>
      </c>
      <c r="CF23" s="67">
        <v>205431.26134817</v>
      </c>
      <c r="CG23" s="67">
        <v>204436.51924369999</v>
      </c>
      <c r="CH23" s="67">
        <v>202155.19573350999</v>
      </c>
      <c r="CI23" s="67">
        <v>204831.17181602001</v>
      </c>
      <c r="CJ23" s="67">
        <v>207990.11131564999</v>
      </c>
      <c r="CK23" s="67">
        <v>209342.66198506</v>
      </c>
      <c r="CL23" s="67">
        <v>209915.25953672</v>
      </c>
      <c r="CM23" s="66">
        <v>218579.87676754</v>
      </c>
      <c r="CN23" s="66">
        <v>224051.50257407001</v>
      </c>
      <c r="CO23" s="66">
        <v>223951.28854233999</v>
      </c>
      <c r="CP23" s="66">
        <v>226637.06658047999</v>
      </c>
      <c r="CQ23" s="66">
        <v>225233.69717929</v>
      </c>
      <c r="CR23" s="66">
        <v>233555.47023727</v>
      </c>
      <c r="CS23" s="66">
        <v>237072.94050209</v>
      </c>
      <c r="CT23" s="66">
        <v>225980.67649963999</v>
      </c>
      <c r="CU23" s="66">
        <v>228429.93327700999</v>
      </c>
      <c r="CV23" s="66">
        <v>232363.92701856</v>
      </c>
      <c r="CW23" s="66">
        <v>240485.1802456</v>
      </c>
      <c r="CX23" s="66">
        <v>243367.79670112001</v>
      </c>
      <c r="CY23" s="66">
        <v>243749.98151514001</v>
      </c>
      <c r="CZ23" s="66">
        <v>254171.86384947001</v>
      </c>
      <c r="DA23" s="66">
        <v>268542.79345987999</v>
      </c>
      <c r="DB23" s="66">
        <v>266813.46527077002</v>
      </c>
      <c r="DC23" s="66">
        <v>279226.96557136002</v>
      </c>
      <c r="DD23" s="66">
        <v>287068.79667721002</v>
      </c>
      <c r="DE23" s="66">
        <v>287335.26627352001</v>
      </c>
      <c r="DF23" s="66">
        <v>289060.85196766001</v>
      </c>
      <c r="DG23" s="66">
        <v>295004.52461492002</v>
      </c>
      <c r="DI23" s="74"/>
    </row>
    <row r="24" spans="1:113" s="63" customFormat="1" x14ac:dyDescent="0.3">
      <c r="A24" s="61" t="s">
        <v>17</v>
      </c>
      <c r="B24" s="65">
        <v>117180.14903345989</v>
      </c>
      <c r="C24" s="65">
        <v>116746.84539909978</v>
      </c>
      <c r="D24" s="65">
        <v>116101.72887790996</v>
      </c>
      <c r="E24" s="65">
        <v>112293.46907976999</v>
      </c>
      <c r="F24" s="65">
        <v>112197.43735155989</v>
      </c>
      <c r="G24" s="65">
        <v>113101.98986703983</v>
      </c>
      <c r="H24" s="65">
        <v>113592.47057560002</v>
      </c>
      <c r="I24" s="65">
        <v>114158.18035462017</v>
      </c>
      <c r="J24" s="60">
        <v>116662.13514954004</v>
      </c>
      <c r="K24" s="60">
        <v>117965.09942636</v>
      </c>
      <c r="L24" s="60">
        <v>119200.01921969</v>
      </c>
      <c r="M24" s="65">
        <v>125269.95931549001</v>
      </c>
      <c r="N24" s="67">
        <v>126348.91823133</v>
      </c>
      <c r="O24" s="66">
        <v>125397.38844536</v>
      </c>
      <c r="P24" s="66">
        <v>125714.53454297</v>
      </c>
      <c r="Q24" s="66">
        <v>127472.62725744001</v>
      </c>
      <c r="R24" s="66">
        <v>127553.10897205</v>
      </c>
      <c r="S24" s="66">
        <v>128488.71825696999</v>
      </c>
      <c r="T24" s="66">
        <v>129347.18968107</v>
      </c>
      <c r="U24" s="66">
        <v>134679.70769166001</v>
      </c>
      <c r="V24" s="66">
        <v>139433.65201393</v>
      </c>
      <c r="W24" s="66">
        <v>137059.08613509001</v>
      </c>
      <c r="X24" s="66">
        <v>137825.57557027001</v>
      </c>
      <c r="Y24" s="66">
        <v>135715.35104348001</v>
      </c>
      <c r="Z24" s="66">
        <v>134275.28025000999</v>
      </c>
      <c r="AA24" s="66">
        <v>132815.09763116</v>
      </c>
      <c r="AB24" s="66">
        <v>136204.23843150999</v>
      </c>
      <c r="AC24" s="66">
        <v>139840.08227684</v>
      </c>
      <c r="AD24" s="66">
        <v>139621.97407279999</v>
      </c>
      <c r="AE24" s="66">
        <v>140188.41504925999</v>
      </c>
      <c r="AF24" s="66">
        <v>142146.89407842001</v>
      </c>
      <c r="AG24" s="66">
        <v>144407.65320425</v>
      </c>
      <c r="AH24" s="66">
        <v>141486.38908222999</v>
      </c>
      <c r="AI24" s="66">
        <v>145922.76649893</v>
      </c>
      <c r="AJ24" s="66">
        <v>143641.18718984001</v>
      </c>
      <c r="AK24" s="66">
        <v>142140.11648172999</v>
      </c>
      <c r="AL24" s="66">
        <v>143165.42239337001</v>
      </c>
      <c r="AM24" s="66">
        <v>145449.04238796001</v>
      </c>
      <c r="AN24" s="66">
        <v>155009.11339578</v>
      </c>
      <c r="AO24" s="66">
        <v>150102.64121264999</v>
      </c>
      <c r="AP24" s="66">
        <v>149317.34224945999</v>
      </c>
      <c r="AQ24" s="66">
        <v>152126.34047292999</v>
      </c>
      <c r="AR24" s="66">
        <v>156891.74930018</v>
      </c>
      <c r="AS24" s="66">
        <v>159758.25639366999</v>
      </c>
      <c r="AT24" s="66">
        <v>163377.53984544001</v>
      </c>
      <c r="AU24" s="66">
        <v>166980.16850269999</v>
      </c>
      <c r="AV24" s="66">
        <v>168995.45392395</v>
      </c>
      <c r="AW24" s="66">
        <v>164673.11486895999</v>
      </c>
      <c r="AX24" s="66">
        <v>166484.47678197001</v>
      </c>
      <c r="AY24" s="66">
        <v>170193.75359740001</v>
      </c>
      <c r="AZ24" s="66">
        <v>173082.87380651999</v>
      </c>
      <c r="BA24" s="66">
        <v>177576.95388260001</v>
      </c>
      <c r="BB24" s="66">
        <v>183360.07537969001</v>
      </c>
      <c r="BC24" s="66">
        <v>188056.67174679</v>
      </c>
      <c r="BD24" s="66">
        <v>192075.77906557999</v>
      </c>
      <c r="BE24" s="66">
        <v>196256.50761311001</v>
      </c>
      <c r="BF24" s="66">
        <v>201188.44612312</v>
      </c>
      <c r="BG24" s="66">
        <v>206227.29577813999</v>
      </c>
      <c r="BH24" s="66">
        <v>211157.33223942999</v>
      </c>
      <c r="BI24" s="66">
        <v>209234.29529298001</v>
      </c>
      <c r="BJ24" s="66">
        <v>215205.36421152001</v>
      </c>
      <c r="BK24" s="57">
        <v>225917.56355515044</v>
      </c>
      <c r="BL24" s="66">
        <v>227629.35423423001</v>
      </c>
      <c r="BM24" s="66">
        <v>223776.18829215001</v>
      </c>
      <c r="BN24" s="66">
        <v>224654.16964889999</v>
      </c>
      <c r="BO24" s="66">
        <v>211382.57782892001</v>
      </c>
      <c r="BP24" s="66">
        <v>223089.37132231001</v>
      </c>
      <c r="BQ24" s="66">
        <v>223288.14243959001</v>
      </c>
      <c r="BR24" s="66">
        <v>220706.46338478001</v>
      </c>
      <c r="BS24" s="66">
        <v>221036.61154908</v>
      </c>
      <c r="BT24" s="66">
        <v>220956.24815776001</v>
      </c>
      <c r="BU24" s="66">
        <v>209050.87845888</v>
      </c>
      <c r="BV24" s="66">
        <v>212163.56765819</v>
      </c>
      <c r="BW24" s="66">
        <v>209677.59054842999</v>
      </c>
      <c r="BX24" s="66">
        <v>207784.22350443</v>
      </c>
      <c r="BY24" s="66">
        <v>208456.74568826001</v>
      </c>
      <c r="BZ24" s="66">
        <v>210324.93882430001</v>
      </c>
      <c r="CA24" s="66">
        <v>211072.32023077001</v>
      </c>
      <c r="CB24" s="66">
        <v>213514.04254359001</v>
      </c>
      <c r="CC24" s="66">
        <v>219620.83630018999</v>
      </c>
      <c r="CD24" s="66">
        <v>218581.72548364001</v>
      </c>
      <c r="CE24" s="66">
        <v>221690.67921920001</v>
      </c>
      <c r="CF24" s="66">
        <v>229456.16725756001</v>
      </c>
      <c r="CG24" s="66">
        <v>233122.36839963999</v>
      </c>
      <c r="CH24" s="66">
        <v>230738.28742002</v>
      </c>
      <c r="CI24" s="66">
        <v>231991.17898519</v>
      </c>
      <c r="CJ24" s="66">
        <v>243113.45743971999</v>
      </c>
      <c r="CK24" s="66">
        <v>245514.25254121999</v>
      </c>
      <c r="CL24" s="66">
        <v>250870.04044059</v>
      </c>
      <c r="CM24" s="61">
        <v>254983.90444603999</v>
      </c>
      <c r="CN24" s="61">
        <v>263479.58234328998</v>
      </c>
      <c r="CO24" s="61">
        <v>271496.99420300999</v>
      </c>
      <c r="CP24" s="61">
        <v>278379.69085661002</v>
      </c>
      <c r="CQ24" s="61">
        <v>282597.26669025002</v>
      </c>
      <c r="CR24" s="61">
        <v>290880.08622416999</v>
      </c>
      <c r="CS24" s="61">
        <v>291464.60938157002</v>
      </c>
      <c r="CT24" s="61">
        <v>292942.28232013999</v>
      </c>
      <c r="CU24" s="61">
        <v>302128.01880844001</v>
      </c>
      <c r="CV24" s="61">
        <v>309048.3576246</v>
      </c>
      <c r="CW24" s="61">
        <v>315493.94413502002</v>
      </c>
      <c r="CX24" s="61">
        <v>323015.71199485002</v>
      </c>
      <c r="CY24" s="61">
        <v>329432.06021999998</v>
      </c>
      <c r="CZ24" s="61">
        <v>335955.72175049002</v>
      </c>
      <c r="DA24" s="61">
        <v>345520.55339396</v>
      </c>
      <c r="DB24" s="61">
        <v>347334.95044670999</v>
      </c>
      <c r="DC24" s="61">
        <v>356904.22306215001</v>
      </c>
      <c r="DD24" s="61">
        <v>365535.70658339001</v>
      </c>
      <c r="DE24" s="61">
        <v>365773.77868464001</v>
      </c>
      <c r="DF24" s="61">
        <v>372099.98406384001</v>
      </c>
      <c r="DG24" s="61">
        <v>380422.04057067999</v>
      </c>
    </row>
    <row r="25" spans="1:113" s="72" customFormat="1" x14ac:dyDescent="0.3">
      <c r="A25" s="71" t="s">
        <v>18</v>
      </c>
      <c r="B25" s="66">
        <v>36493.265720870004</v>
      </c>
      <c r="C25" s="66">
        <v>28859.87401402001</v>
      </c>
      <c r="D25" s="66">
        <v>29056.111072820011</v>
      </c>
      <c r="E25" s="68">
        <v>11202.87965359</v>
      </c>
      <c r="F25" s="66">
        <v>32961.476368670003</v>
      </c>
      <c r="G25" s="68">
        <v>29476.197956439999</v>
      </c>
      <c r="H25" s="68">
        <v>29921.38002416</v>
      </c>
      <c r="I25" s="68">
        <v>29939.767231449998</v>
      </c>
      <c r="J25" s="68">
        <v>30362.375433610003</v>
      </c>
      <c r="K25" s="65">
        <v>30677.482411159999</v>
      </c>
      <c r="L25" s="68">
        <v>31013.0659887</v>
      </c>
      <c r="M25" s="66">
        <v>24252.61593851</v>
      </c>
      <c r="N25" s="67">
        <v>24489.445488379999</v>
      </c>
      <c r="O25" s="66">
        <v>24583.32999445</v>
      </c>
      <c r="P25" s="68">
        <v>24749.991422430001</v>
      </c>
      <c r="Q25" s="68">
        <v>24945.6948988</v>
      </c>
      <c r="R25" s="68">
        <v>25159.08093099</v>
      </c>
      <c r="S25" s="68">
        <v>21400.20823131</v>
      </c>
      <c r="T25" s="68">
        <v>21474.719628880001</v>
      </c>
      <c r="U25" s="68">
        <v>21685.950843120001</v>
      </c>
      <c r="V25" s="68">
        <v>21688.819084719999</v>
      </c>
      <c r="W25" s="68">
        <v>21660.680126290001</v>
      </c>
      <c r="X25" s="68">
        <v>43650.355157489998</v>
      </c>
      <c r="Y25" s="68">
        <v>21596.195078730001</v>
      </c>
      <c r="Z25" s="68">
        <v>21600.60239833</v>
      </c>
      <c r="AA25" s="68">
        <v>21494.38336521</v>
      </c>
      <c r="AB25" s="68">
        <v>21527.02681453</v>
      </c>
      <c r="AC25" s="68">
        <v>21434.447924700002</v>
      </c>
      <c r="AD25" s="68">
        <v>0</v>
      </c>
      <c r="AE25" s="68">
        <v>0</v>
      </c>
      <c r="AF25" s="68">
        <v>0</v>
      </c>
      <c r="AG25" s="68">
        <v>0</v>
      </c>
      <c r="AH25" s="68">
        <v>0</v>
      </c>
      <c r="AI25" s="68">
        <v>0</v>
      </c>
      <c r="AJ25" s="68">
        <v>0</v>
      </c>
      <c r="AK25" s="68">
        <v>0</v>
      </c>
      <c r="AL25" s="68">
        <v>0</v>
      </c>
      <c r="AM25" s="68">
        <v>0</v>
      </c>
      <c r="AN25" s="68">
        <v>0</v>
      </c>
      <c r="AO25" s="68">
        <v>0</v>
      </c>
      <c r="AP25" s="68">
        <v>0</v>
      </c>
      <c r="AQ25" s="68">
        <v>0</v>
      </c>
      <c r="AR25" s="68">
        <v>0</v>
      </c>
      <c r="AS25" s="68">
        <v>496.08392337999999</v>
      </c>
      <c r="AT25" s="68">
        <v>0</v>
      </c>
      <c r="AU25" s="68">
        <v>0</v>
      </c>
      <c r="AV25" s="68">
        <v>0</v>
      </c>
      <c r="AW25" s="68">
        <v>373.96063736999997</v>
      </c>
      <c r="AX25" s="68">
        <v>0</v>
      </c>
      <c r="AY25" s="68">
        <v>0</v>
      </c>
      <c r="AZ25" s="68">
        <v>0</v>
      </c>
      <c r="BA25" s="68">
        <v>0</v>
      </c>
      <c r="BB25" s="68">
        <v>0</v>
      </c>
      <c r="BC25" s="68">
        <v>0</v>
      </c>
      <c r="BD25" s="68">
        <v>0</v>
      </c>
      <c r="BE25" s="68">
        <v>536.14361773999997</v>
      </c>
      <c r="BF25" s="68">
        <v>0</v>
      </c>
      <c r="BG25" s="68">
        <v>0</v>
      </c>
      <c r="BH25" s="68">
        <v>0</v>
      </c>
      <c r="BI25" s="68">
        <v>0</v>
      </c>
      <c r="BJ25" s="68">
        <v>0</v>
      </c>
      <c r="BK25" s="71">
        <v>0</v>
      </c>
      <c r="BL25" s="68">
        <v>0</v>
      </c>
      <c r="BM25" s="68">
        <v>0</v>
      </c>
      <c r="BN25" s="68">
        <v>0</v>
      </c>
      <c r="BO25" s="68">
        <v>9964.4878781200005</v>
      </c>
      <c r="BP25" s="68">
        <v>0</v>
      </c>
      <c r="BQ25" s="68">
        <v>1182.7842670699999</v>
      </c>
      <c r="BR25" s="68">
        <v>1185.07047145</v>
      </c>
      <c r="BS25" s="68">
        <v>0</v>
      </c>
      <c r="BT25" s="68">
        <v>0</v>
      </c>
      <c r="BU25" s="68">
        <v>0</v>
      </c>
      <c r="BV25" s="68">
        <v>0</v>
      </c>
      <c r="BW25" s="68">
        <v>0</v>
      </c>
      <c r="BX25" s="68">
        <v>0</v>
      </c>
      <c r="BY25" s="68">
        <v>0</v>
      </c>
      <c r="BZ25" s="68">
        <v>0</v>
      </c>
      <c r="CA25" s="68">
        <v>0</v>
      </c>
      <c r="CB25" s="68">
        <v>0</v>
      </c>
      <c r="CC25" s="68">
        <v>0</v>
      </c>
      <c r="CD25" s="68">
        <v>0</v>
      </c>
      <c r="CE25" s="68">
        <v>0</v>
      </c>
      <c r="CF25" s="68">
        <v>0</v>
      </c>
      <c r="CG25" s="68">
        <v>0</v>
      </c>
      <c r="CH25" s="68">
        <v>0</v>
      </c>
      <c r="CI25" s="68">
        <v>0</v>
      </c>
      <c r="CJ25" s="68">
        <v>0</v>
      </c>
      <c r="CK25" s="68">
        <v>0</v>
      </c>
      <c r="CL25" s="68">
        <v>0</v>
      </c>
      <c r="CM25" s="68">
        <v>0</v>
      </c>
      <c r="CN25" s="68">
        <v>0</v>
      </c>
      <c r="CO25" s="68">
        <v>0</v>
      </c>
      <c r="CP25" s="68">
        <v>0</v>
      </c>
      <c r="CQ25" s="68">
        <v>0</v>
      </c>
      <c r="CR25" s="68">
        <v>0</v>
      </c>
      <c r="CS25" s="68">
        <v>367.09410238999999</v>
      </c>
      <c r="CT25" s="68">
        <v>0</v>
      </c>
      <c r="CU25" s="68">
        <v>0</v>
      </c>
      <c r="CV25" s="68">
        <v>0</v>
      </c>
      <c r="CW25" s="68">
        <v>0</v>
      </c>
      <c r="CX25" s="68">
        <v>0</v>
      </c>
      <c r="CY25" s="68">
        <v>0</v>
      </c>
      <c r="CZ25" s="68">
        <v>0</v>
      </c>
      <c r="DA25" s="68">
        <v>0</v>
      </c>
      <c r="DB25" s="68">
        <v>0</v>
      </c>
      <c r="DC25" s="68">
        <v>0</v>
      </c>
      <c r="DD25" s="68">
        <v>251.91638338000001</v>
      </c>
      <c r="DE25" s="68">
        <v>0</v>
      </c>
      <c r="DF25" s="68">
        <v>0</v>
      </c>
      <c r="DG25" s="68">
        <v>44.144718570000002</v>
      </c>
    </row>
    <row r="26" spans="1:113" s="55" customFormat="1" x14ac:dyDescent="0.3">
      <c r="A26" s="77" t="s">
        <v>19</v>
      </c>
      <c r="B26" s="78">
        <v>444667.3565337201</v>
      </c>
      <c r="C26" s="79">
        <v>579233.23838648992</v>
      </c>
      <c r="D26" s="78">
        <v>568815.72638949973</v>
      </c>
      <c r="E26" s="78">
        <v>569128.29424315912</v>
      </c>
      <c r="F26" s="78">
        <v>573478.82498181006</v>
      </c>
      <c r="G26" s="80">
        <v>587462.70350580988</v>
      </c>
      <c r="H26" s="80">
        <v>591529.5662136001</v>
      </c>
      <c r="I26" s="80">
        <v>582248.82951266994</v>
      </c>
      <c r="J26" s="81">
        <v>588214.86754340003</v>
      </c>
      <c r="K26" s="53">
        <v>588465.93559269002</v>
      </c>
      <c r="L26" s="53">
        <v>580548.39967254002</v>
      </c>
      <c r="M26" s="78">
        <v>594998.62426605006</v>
      </c>
      <c r="N26" s="80">
        <v>639095.02933255001</v>
      </c>
      <c r="O26" s="80">
        <v>625503.37199058</v>
      </c>
      <c r="P26" s="80">
        <v>630695.25284597999</v>
      </c>
      <c r="Q26" s="81">
        <v>628559.10661386</v>
      </c>
      <c r="R26" s="81">
        <v>628271.26769926003</v>
      </c>
      <c r="S26" s="81">
        <v>626138.83169268002</v>
      </c>
      <c r="T26" s="81">
        <v>631231.05436263001</v>
      </c>
      <c r="U26" s="81">
        <v>655912.98512080999</v>
      </c>
      <c r="V26" s="81">
        <v>662782.46203900001</v>
      </c>
      <c r="W26" s="81">
        <v>666340.24098580005</v>
      </c>
      <c r="X26" s="81">
        <v>664516.62327690003</v>
      </c>
      <c r="Y26" s="81">
        <v>630766.71599179006</v>
      </c>
      <c r="Z26" s="81">
        <v>632596.93118285004</v>
      </c>
      <c r="AA26" s="81">
        <v>607256.99338044995</v>
      </c>
      <c r="AB26" s="81">
        <v>610655.37194792996</v>
      </c>
      <c r="AC26" s="81">
        <v>599544.42255422997</v>
      </c>
      <c r="AD26" s="81">
        <v>588927.94163152995</v>
      </c>
      <c r="AE26" s="81">
        <v>581329.28199817997</v>
      </c>
      <c r="AF26" s="81">
        <v>570713.22192067001</v>
      </c>
      <c r="AG26" s="81">
        <v>565616.20354914002</v>
      </c>
      <c r="AH26" s="81">
        <v>547230.60020671005</v>
      </c>
      <c r="AI26" s="81">
        <v>558142.22357784002</v>
      </c>
      <c r="AJ26" s="81">
        <v>548701.49344173004</v>
      </c>
      <c r="AK26" s="81">
        <v>530780.40499235003</v>
      </c>
      <c r="AL26" s="81">
        <v>544690.23498408997</v>
      </c>
      <c r="AM26" s="81">
        <v>539457.27973157004</v>
      </c>
      <c r="AN26" s="81">
        <v>575420.22092244006</v>
      </c>
      <c r="AO26" s="81">
        <v>562806.82543872995</v>
      </c>
      <c r="AP26" s="81">
        <v>561663.16844100005</v>
      </c>
      <c r="AQ26" s="81">
        <v>536288.16351500002</v>
      </c>
      <c r="AR26" s="81">
        <v>547187.81873009005</v>
      </c>
      <c r="AS26" s="81">
        <v>547708.09353836998</v>
      </c>
      <c r="AT26" s="81">
        <v>510823.96908954001</v>
      </c>
      <c r="AU26" s="81">
        <v>471964.02215757</v>
      </c>
      <c r="AV26" s="81">
        <v>449321.40309843997</v>
      </c>
      <c r="AW26" s="81">
        <v>430370.57045621</v>
      </c>
      <c r="AX26" s="81">
        <v>433432.64714093</v>
      </c>
      <c r="AY26" s="81">
        <v>427470.88540179998</v>
      </c>
      <c r="AZ26" s="81">
        <v>422602.84746856999</v>
      </c>
      <c r="BA26" s="81">
        <v>425884.64686442999</v>
      </c>
      <c r="BB26" s="81">
        <v>408459.89625306003</v>
      </c>
      <c r="BC26" s="81">
        <v>405522.21589359001</v>
      </c>
      <c r="BD26" s="81">
        <v>395827.18130360002</v>
      </c>
      <c r="BE26" s="81">
        <v>393178.24624727003</v>
      </c>
      <c r="BF26" s="81">
        <v>374400.65097690001</v>
      </c>
      <c r="BG26" s="81">
        <v>372053.08669962001</v>
      </c>
      <c r="BH26" s="81">
        <v>356542.94507330999</v>
      </c>
      <c r="BI26" s="81">
        <v>345130.94685404003</v>
      </c>
      <c r="BJ26" s="81">
        <v>351290.71136244998</v>
      </c>
      <c r="BK26" s="77">
        <v>305072.07100135012</v>
      </c>
      <c r="BL26" s="81">
        <v>306221.10058859002</v>
      </c>
      <c r="BM26" s="81">
        <v>309656.48213219002</v>
      </c>
      <c r="BN26" s="81">
        <v>317455.58933495003</v>
      </c>
      <c r="BO26" s="81">
        <v>339468.14562104002</v>
      </c>
      <c r="BP26" s="81">
        <v>363682.05199036998</v>
      </c>
      <c r="BQ26" s="81">
        <v>368678.32005929999</v>
      </c>
      <c r="BR26" s="81">
        <v>399104.46607097</v>
      </c>
      <c r="BS26" s="81">
        <v>417532.87373420002</v>
      </c>
      <c r="BT26" s="81">
        <v>429526.03752854001</v>
      </c>
      <c r="BU26" s="81">
        <v>432104.83784097998</v>
      </c>
      <c r="BV26" s="81">
        <v>437741.34282619</v>
      </c>
      <c r="BW26" s="81">
        <v>435200.52636963001</v>
      </c>
      <c r="BX26" s="81">
        <v>434092.23062177998</v>
      </c>
      <c r="BY26" s="81">
        <v>435324.17999997002</v>
      </c>
      <c r="BZ26" s="81">
        <v>428244.78128462</v>
      </c>
      <c r="CA26" s="81">
        <v>425147.85834342998</v>
      </c>
      <c r="CB26" s="81">
        <v>430301.89291642001</v>
      </c>
      <c r="CC26" s="81">
        <v>426480.71335024002</v>
      </c>
      <c r="CD26" s="81">
        <v>422488.05022634001</v>
      </c>
      <c r="CE26" s="81">
        <v>425291.58934387</v>
      </c>
      <c r="CF26" s="81">
        <v>423148.08548294002</v>
      </c>
      <c r="CG26" s="81">
        <v>422359.56090092001</v>
      </c>
      <c r="CH26" s="81">
        <v>420461.31890134001</v>
      </c>
      <c r="CI26" s="81">
        <v>419673.30831335997</v>
      </c>
      <c r="CJ26" s="81">
        <v>420316.05997270998</v>
      </c>
      <c r="CK26" s="81">
        <v>420295.50737771997</v>
      </c>
      <c r="CL26" s="81">
        <v>421288.17757842003</v>
      </c>
      <c r="CM26" s="81">
        <v>418171.41351893003</v>
      </c>
      <c r="CN26" s="81">
        <v>416929.99845463998</v>
      </c>
      <c r="CO26" s="81">
        <v>416515.08442605002</v>
      </c>
      <c r="CP26" s="81">
        <v>415502.73494969</v>
      </c>
      <c r="CQ26" s="81">
        <v>415159.07183148997</v>
      </c>
      <c r="CR26" s="81">
        <v>414311.06932991999</v>
      </c>
      <c r="CS26" s="81">
        <v>393217.58639040001</v>
      </c>
      <c r="CT26" s="81">
        <v>397636.72111629002</v>
      </c>
      <c r="CU26" s="81">
        <v>396404.33173660998</v>
      </c>
      <c r="CV26" s="81">
        <v>382555.41761846002</v>
      </c>
      <c r="CW26" s="81">
        <v>385146.10934271</v>
      </c>
      <c r="CX26" s="81">
        <v>385102.67890275002</v>
      </c>
      <c r="CY26" s="81">
        <v>386824.84914899</v>
      </c>
      <c r="CZ26" s="81">
        <v>378464.32666138001</v>
      </c>
      <c r="DA26" s="81">
        <v>375557.89280263998</v>
      </c>
      <c r="DB26" s="81">
        <v>370635.70224056998</v>
      </c>
      <c r="DC26" s="81">
        <v>370514.75806397002</v>
      </c>
      <c r="DD26" s="81">
        <v>371858.35332062002</v>
      </c>
      <c r="DE26" s="81">
        <v>189309.26416406999</v>
      </c>
      <c r="DF26" s="81">
        <v>191581.40617664999</v>
      </c>
      <c r="DG26" s="81">
        <v>191042.26527859</v>
      </c>
    </row>
    <row r="27" spans="1:113" s="63" customFormat="1" x14ac:dyDescent="0.3">
      <c r="A27" s="57" t="s">
        <v>12</v>
      </c>
      <c r="B27" s="58"/>
      <c r="C27" s="59"/>
      <c r="D27" s="58"/>
      <c r="E27" s="58"/>
      <c r="F27" s="58"/>
      <c r="G27" s="58"/>
      <c r="H27" s="58"/>
      <c r="I27" s="58"/>
      <c r="J27" s="60"/>
      <c r="K27" s="60"/>
      <c r="L27" s="60"/>
      <c r="M27" s="58"/>
      <c r="N27" s="60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57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</row>
    <row r="28" spans="1:113" s="63" customFormat="1" x14ac:dyDescent="0.3">
      <c r="A28" s="57" t="s">
        <v>13</v>
      </c>
      <c r="B28" s="58">
        <v>198018.68920512</v>
      </c>
      <c r="C28" s="58">
        <v>338612.95313708001</v>
      </c>
      <c r="D28" s="58">
        <v>338762.70169902989</v>
      </c>
      <c r="E28" s="58">
        <v>345637.31932542991</v>
      </c>
      <c r="F28" s="58">
        <v>346512.51855196001</v>
      </c>
      <c r="G28" s="58">
        <v>359760.29860363004</v>
      </c>
      <c r="H28" s="58">
        <v>359780.32370454009</v>
      </c>
      <c r="I28" s="58">
        <v>357810.69294140988</v>
      </c>
      <c r="J28" s="61">
        <v>363462.0001078198</v>
      </c>
      <c r="K28" s="62">
        <v>365283.29779043997</v>
      </c>
      <c r="L28" s="62">
        <v>366090.55162471998</v>
      </c>
      <c r="M28" s="58">
        <v>397562.94843615999</v>
      </c>
      <c r="N28" s="61">
        <v>416346.65238694998</v>
      </c>
      <c r="O28" s="62">
        <v>410355.51337150001</v>
      </c>
      <c r="P28" s="60">
        <v>415228.07990975998</v>
      </c>
      <c r="Q28" s="60">
        <v>414639.08784329001</v>
      </c>
      <c r="R28" s="60">
        <v>413489.53517051</v>
      </c>
      <c r="S28" s="60">
        <v>412889.86901213002</v>
      </c>
      <c r="T28" s="60">
        <v>419962.66652804997</v>
      </c>
      <c r="U28" s="60">
        <v>431344.76801136002</v>
      </c>
      <c r="V28" s="60">
        <v>438755.34918891999</v>
      </c>
      <c r="W28" s="60">
        <v>436243.61850192002</v>
      </c>
      <c r="X28" s="60">
        <v>439064.02463305002</v>
      </c>
      <c r="Y28" s="60">
        <v>437100.95118874998</v>
      </c>
      <c r="Z28" s="60">
        <v>433838.73089457001</v>
      </c>
      <c r="AA28" s="60">
        <v>418551.98707860999</v>
      </c>
      <c r="AB28" s="60">
        <v>421900.45308435999</v>
      </c>
      <c r="AC28" s="60">
        <v>418333.92064601002</v>
      </c>
      <c r="AD28" s="60">
        <v>418647.32279240002</v>
      </c>
      <c r="AE28" s="60">
        <v>414975.34867904999</v>
      </c>
      <c r="AF28" s="60">
        <v>411552.5810294</v>
      </c>
      <c r="AG28" s="60">
        <v>407498.57663392997</v>
      </c>
      <c r="AH28" s="60">
        <v>399644.62607018999</v>
      </c>
      <c r="AI28" s="60">
        <v>407101.39011549001</v>
      </c>
      <c r="AJ28" s="60">
        <v>400935.70148029999</v>
      </c>
      <c r="AK28" s="60">
        <v>396903.20662757999</v>
      </c>
      <c r="AL28" s="60">
        <v>406241.03664975998</v>
      </c>
      <c r="AM28" s="60">
        <v>403523.31266130001</v>
      </c>
      <c r="AN28" s="60">
        <v>425799.84578898997</v>
      </c>
      <c r="AO28" s="60">
        <v>417988.76088214002</v>
      </c>
      <c r="AP28" s="60">
        <v>415695.88290059997</v>
      </c>
      <c r="AQ28" s="60">
        <v>390794.99097118998</v>
      </c>
      <c r="AR28" s="60">
        <v>397267.21254556999</v>
      </c>
      <c r="AS28" s="60">
        <v>396923.42747568002</v>
      </c>
      <c r="AT28" s="60">
        <v>376675.61781209998</v>
      </c>
      <c r="AU28" s="60">
        <v>341998.18164701998</v>
      </c>
      <c r="AV28" s="60">
        <v>320926.91462876002</v>
      </c>
      <c r="AW28" s="60">
        <v>310224.78096225002</v>
      </c>
      <c r="AX28" s="60">
        <v>313038.65030699997</v>
      </c>
      <c r="AY28" s="60">
        <v>310218.26390090998</v>
      </c>
      <c r="AZ28" s="60">
        <v>306858.38298161997</v>
      </c>
      <c r="BA28" s="60">
        <v>309149.60112004</v>
      </c>
      <c r="BB28" s="60">
        <v>296487.86520154</v>
      </c>
      <c r="BC28" s="60">
        <v>295466.23872805003</v>
      </c>
      <c r="BD28" s="60">
        <v>288940.51354214002</v>
      </c>
      <c r="BE28" s="60">
        <v>288097.25686721998</v>
      </c>
      <c r="BF28" s="60">
        <v>275276.72792958998</v>
      </c>
      <c r="BG28" s="60">
        <v>275295.60692832997</v>
      </c>
      <c r="BH28" s="60">
        <v>263408.44601760001</v>
      </c>
      <c r="BI28" s="60">
        <v>253976.90383950001</v>
      </c>
      <c r="BJ28" s="60">
        <v>256638.37688470999</v>
      </c>
      <c r="BK28" s="57">
        <v>259287.77549429989</v>
      </c>
      <c r="BL28" s="60">
        <v>258418.33550156001</v>
      </c>
      <c r="BM28" s="60">
        <v>259625.93415516999</v>
      </c>
      <c r="BN28" s="60">
        <v>264703.70386543998</v>
      </c>
      <c r="BO28" s="60">
        <v>275305.52059337002</v>
      </c>
      <c r="BP28" s="60">
        <v>290043.94981398003</v>
      </c>
      <c r="BQ28" s="60">
        <v>292074.31301941001</v>
      </c>
      <c r="BR28" s="60">
        <v>306126.21911753999</v>
      </c>
      <c r="BS28" s="60">
        <v>317539.45257217</v>
      </c>
      <c r="BT28" s="60">
        <v>324322.65458512999</v>
      </c>
      <c r="BU28" s="60">
        <v>323133.91198315</v>
      </c>
      <c r="BV28" s="60">
        <v>324294.08631961001</v>
      </c>
      <c r="BW28" s="60">
        <v>323449.59495268</v>
      </c>
      <c r="BX28" s="60">
        <v>323730.63542849</v>
      </c>
      <c r="BY28" s="60">
        <v>326045.03166784003</v>
      </c>
      <c r="BZ28" s="60">
        <v>320210.24017071998</v>
      </c>
      <c r="CA28" s="60">
        <v>320106.41421183001</v>
      </c>
      <c r="CB28" s="60">
        <v>349375.75128338003</v>
      </c>
      <c r="CC28" s="60">
        <v>348428.82732848998</v>
      </c>
      <c r="CD28" s="60">
        <v>347630.70473935001</v>
      </c>
      <c r="CE28" s="60">
        <v>349173.03551307</v>
      </c>
      <c r="CF28" s="60">
        <v>346397.83949394</v>
      </c>
      <c r="CG28" s="60">
        <v>352632.42249069002</v>
      </c>
      <c r="CH28" s="60">
        <v>351498.48813070997</v>
      </c>
      <c r="CI28" s="60">
        <v>350828.47425501997</v>
      </c>
      <c r="CJ28" s="60">
        <v>352812.89484441001</v>
      </c>
      <c r="CK28" s="60">
        <v>353019.28886720003</v>
      </c>
      <c r="CL28" s="60">
        <v>355511.34275846998</v>
      </c>
      <c r="CM28" s="60">
        <v>353423.08184623998</v>
      </c>
      <c r="CN28" s="60">
        <v>353134.63639747998</v>
      </c>
      <c r="CO28" s="60">
        <v>351834.76083138998</v>
      </c>
      <c r="CP28" s="60">
        <v>351175.23657379998</v>
      </c>
      <c r="CQ28" s="60">
        <v>350281.86578795</v>
      </c>
      <c r="CR28" s="60">
        <v>350169.44641779998</v>
      </c>
      <c r="CS28" s="60">
        <v>330586.30683761003</v>
      </c>
      <c r="CT28" s="60">
        <v>337993.55737465998</v>
      </c>
      <c r="CU28" s="60">
        <v>339350.58577488002</v>
      </c>
      <c r="CV28" s="60">
        <v>328050.92767609999</v>
      </c>
      <c r="CW28" s="60">
        <v>329348.22856893</v>
      </c>
      <c r="CX28" s="60">
        <v>329535.07439770998</v>
      </c>
      <c r="CY28" s="60">
        <v>330952.06376673997</v>
      </c>
      <c r="CZ28" s="60">
        <v>324704.67883664998</v>
      </c>
      <c r="DA28" s="60">
        <v>322053.07657278999</v>
      </c>
      <c r="DB28" s="60">
        <v>318596.85048570001</v>
      </c>
      <c r="DC28" s="60">
        <v>318702.50223422999</v>
      </c>
      <c r="DD28" s="60">
        <v>319947.75672518002</v>
      </c>
      <c r="DE28" s="60">
        <v>140132.79909031</v>
      </c>
      <c r="DF28" s="60">
        <v>141487.29135232</v>
      </c>
      <c r="DG28" s="60">
        <v>141404.91791374001</v>
      </c>
    </row>
    <row r="29" spans="1:113" s="72" customFormat="1" x14ac:dyDescent="0.3">
      <c r="A29" s="69" t="s">
        <v>14</v>
      </c>
      <c r="B29" s="65">
        <v>189922.58533785</v>
      </c>
      <c r="C29" s="65">
        <v>186304.70956832002</v>
      </c>
      <c r="D29" s="65">
        <v>187322.47916669998</v>
      </c>
      <c r="E29" s="65">
        <v>194532.99118090997</v>
      </c>
      <c r="F29" s="65">
        <v>194532.99118090997</v>
      </c>
      <c r="G29" s="65">
        <v>207988.31096595997</v>
      </c>
      <c r="H29" s="65">
        <v>207360.75427353999</v>
      </c>
      <c r="I29" s="65">
        <v>206915.01707428001</v>
      </c>
      <c r="J29" s="66">
        <v>208444.96440767005</v>
      </c>
      <c r="K29" s="67">
        <v>209890.89396411</v>
      </c>
      <c r="L29" s="66">
        <v>210145.19468824999</v>
      </c>
      <c r="M29" s="65">
        <v>236211.15802725</v>
      </c>
      <c r="N29" s="65">
        <v>236923.15899972999</v>
      </c>
      <c r="O29" s="66">
        <v>235555.1036837</v>
      </c>
      <c r="P29" s="66">
        <v>229516.50758892001</v>
      </c>
      <c r="Q29" s="66">
        <v>229481.59501531001</v>
      </c>
      <c r="R29" s="66">
        <v>229631.53865865999</v>
      </c>
      <c r="S29" s="66">
        <v>230263.32081234999</v>
      </c>
      <c r="T29" s="66">
        <v>232078.14711538999</v>
      </c>
      <c r="U29" s="66">
        <v>235460.20996584001</v>
      </c>
      <c r="V29" s="66">
        <v>243695.91691609001</v>
      </c>
      <c r="W29" s="66">
        <v>244274.48298897</v>
      </c>
      <c r="X29" s="66">
        <v>245499.97657318</v>
      </c>
      <c r="Y29" s="66">
        <v>244824.28797696001</v>
      </c>
      <c r="Z29" s="66">
        <v>245742.25388368999</v>
      </c>
      <c r="AA29" s="66">
        <v>243945.49263778</v>
      </c>
      <c r="AB29" s="66">
        <v>245172.69384943001</v>
      </c>
      <c r="AC29" s="66">
        <v>244251.15427515001</v>
      </c>
      <c r="AD29" s="66">
        <v>243810.38396663</v>
      </c>
      <c r="AE29" s="66">
        <v>242615.32625769</v>
      </c>
      <c r="AF29" s="66">
        <v>240920.60958597</v>
      </c>
      <c r="AG29" s="66">
        <v>241626.85846570999</v>
      </c>
      <c r="AH29" s="66">
        <v>239517.36608698999</v>
      </c>
      <c r="AI29" s="66">
        <v>241899.53133917</v>
      </c>
      <c r="AJ29" s="66">
        <v>239952.56619774</v>
      </c>
      <c r="AK29" s="66">
        <v>239196.51627610001</v>
      </c>
      <c r="AL29" s="66">
        <v>242300.29465744999</v>
      </c>
      <c r="AM29" s="66">
        <v>241599.45224381</v>
      </c>
      <c r="AN29" s="66">
        <v>249303.39103139</v>
      </c>
      <c r="AO29" s="66">
        <v>247182.36072289999</v>
      </c>
      <c r="AP29" s="66">
        <v>247556.99139755999</v>
      </c>
      <c r="AQ29" s="66">
        <v>247762.48398421999</v>
      </c>
      <c r="AR29" s="66">
        <v>250505.35801031001</v>
      </c>
      <c r="AS29" s="66">
        <v>250477.32477958</v>
      </c>
      <c r="AT29" s="66">
        <v>247979.35701398001</v>
      </c>
      <c r="AU29" s="66">
        <v>212620.07437518</v>
      </c>
      <c r="AV29" s="66">
        <v>189528.30815867</v>
      </c>
      <c r="AW29" s="66">
        <v>181195.90011628999</v>
      </c>
      <c r="AX29" s="66">
        <v>181311.19006056001</v>
      </c>
      <c r="AY29" s="66">
        <v>180383.77660434</v>
      </c>
      <c r="AZ29" s="66">
        <v>177992.14728053001</v>
      </c>
      <c r="BA29" s="66">
        <v>177994.17739316999</v>
      </c>
      <c r="BB29" s="66">
        <v>177835.48050897999</v>
      </c>
      <c r="BC29" s="66">
        <v>177435.76251706001</v>
      </c>
      <c r="BD29" s="66">
        <v>176779.05771314001</v>
      </c>
      <c r="BE29" s="66">
        <v>176902.52561292</v>
      </c>
      <c r="BF29" s="66">
        <v>175304.21358921001</v>
      </c>
      <c r="BG29" s="66">
        <v>174842.35563517001</v>
      </c>
      <c r="BH29" s="66">
        <v>175390.55488729</v>
      </c>
      <c r="BI29" s="66">
        <v>174533.38373504</v>
      </c>
      <c r="BJ29" s="66">
        <v>175438.45869763999</v>
      </c>
      <c r="BK29" s="71">
        <v>175653.14414039993</v>
      </c>
      <c r="BL29" s="66">
        <v>175486.64526079001</v>
      </c>
      <c r="BM29" s="66">
        <v>175323.66252824001</v>
      </c>
      <c r="BN29" s="66">
        <v>175771.12703286001</v>
      </c>
      <c r="BO29" s="66">
        <v>175082.8516776</v>
      </c>
      <c r="BP29" s="66">
        <v>179541.92803740001</v>
      </c>
      <c r="BQ29" s="66">
        <v>179763.58996342999</v>
      </c>
      <c r="BR29" s="66">
        <v>186987.77265570001</v>
      </c>
      <c r="BS29" s="66">
        <v>187721.64167002999</v>
      </c>
      <c r="BT29" s="66">
        <v>188103.26250836</v>
      </c>
      <c r="BU29" s="66">
        <v>178929.28292388</v>
      </c>
      <c r="BV29" s="66">
        <v>179273.43161318</v>
      </c>
      <c r="BW29" s="66">
        <v>178748.67185531001</v>
      </c>
      <c r="BX29" s="66">
        <v>178741.40421035001</v>
      </c>
      <c r="BY29" s="66">
        <v>178792.03950928</v>
      </c>
      <c r="BZ29" s="66">
        <v>179106.77253081001</v>
      </c>
      <c r="CA29" s="66">
        <v>179093.91974411</v>
      </c>
      <c r="CB29" s="66">
        <v>179641.34636602999</v>
      </c>
      <c r="CC29" s="66">
        <v>179622.48586764999</v>
      </c>
      <c r="CD29" s="66">
        <v>179494.91659499001</v>
      </c>
      <c r="CE29" s="66">
        <v>179475.97396348999</v>
      </c>
      <c r="CF29" s="66">
        <v>179349.15827084999</v>
      </c>
      <c r="CG29" s="66">
        <v>179934.32339440999</v>
      </c>
      <c r="CH29" s="66">
        <v>179950.20702117999</v>
      </c>
      <c r="CI29" s="66">
        <v>180107.39709670001</v>
      </c>
      <c r="CJ29" s="66">
        <v>180245.63188403001</v>
      </c>
      <c r="CK29" s="66">
        <v>180302.37255321001</v>
      </c>
      <c r="CL29" s="66">
        <v>180932.29368698</v>
      </c>
      <c r="CM29" s="66">
        <v>181000.23022231</v>
      </c>
      <c r="CN29" s="66">
        <v>181193.08533264001</v>
      </c>
      <c r="CO29" s="66">
        <v>178802.70361252999</v>
      </c>
      <c r="CP29" s="66">
        <v>178766.70651491999</v>
      </c>
      <c r="CQ29" s="66">
        <v>178686.75329977999</v>
      </c>
      <c r="CR29" s="66">
        <v>178734.10932051999</v>
      </c>
      <c r="CS29" s="66">
        <v>170318.57900811001</v>
      </c>
      <c r="CT29" s="66">
        <v>170277.74790799001</v>
      </c>
      <c r="CU29" s="66">
        <v>170131.37740917</v>
      </c>
      <c r="CV29" s="66">
        <v>168720.59422837</v>
      </c>
      <c r="CW29" s="66">
        <v>168888.09832893999</v>
      </c>
      <c r="CX29" s="66">
        <v>169349.65067932001</v>
      </c>
      <c r="CY29" s="66">
        <v>169416.81699957</v>
      </c>
      <c r="CZ29" s="66">
        <v>169462.69471648999</v>
      </c>
      <c r="DA29" s="66">
        <v>168359.06925023999</v>
      </c>
      <c r="DB29" s="66">
        <v>168418.11151300001</v>
      </c>
      <c r="DC29" s="66">
        <v>168632.97448606</v>
      </c>
      <c r="DD29" s="66">
        <v>168830.59727530001</v>
      </c>
      <c r="DE29" s="66">
        <v>18820.517302299999</v>
      </c>
      <c r="DF29" s="66">
        <v>19100.61712743</v>
      </c>
      <c r="DG29" s="66">
        <v>19042.0760204</v>
      </c>
    </row>
    <row r="30" spans="1:113" s="63" customFormat="1" x14ac:dyDescent="0.3">
      <c r="A30" s="57" t="s">
        <v>15</v>
      </c>
      <c r="B30" s="65">
        <v>8096.1038672699942</v>
      </c>
      <c r="C30" s="65">
        <v>152308.24356875999</v>
      </c>
      <c r="D30" s="65">
        <v>151440.22253232991</v>
      </c>
      <c r="E30" s="65">
        <v>151104.32814451994</v>
      </c>
      <c r="F30" s="65">
        <v>151979.52737105003</v>
      </c>
      <c r="G30" s="65">
        <v>151771.98763767007</v>
      </c>
      <c r="H30" s="65">
        <v>152419.5694310001</v>
      </c>
      <c r="I30" s="65">
        <v>150895.67586712987</v>
      </c>
      <c r="J30" s="58">
        <v>155017.03570014975</v>
      </c>
      <c r="K30" s="61">
        <v>155392.40382632997</v>
      </c>
      <c r="L30" s="61">
        <v>155945.35693646999</v>
      </c>
      <c r="M30" s="65">
        <v>161351.79040890999</v>
      </c>
      <c r="N30" s="65">
        <v>179423.49338721999</v>
      </c>
      <c r="O30" s="68">
        <v>174800.40968780001</v>
      </c>
      <c r="P30" s="68">
        <v>185711.57232083997</v>
      </c>
      <c r="Q30" s="68">
        <v>185157.49282797999</v>
      </c>
      <c r="R30" s="68">
        <v>183857.99651185001</v>
      </c>
      <c r="S30" s="68">
        <v>182626.54819978002</v>
      </c>
      <c r="T30" s="68">
        <v>187884.51941265998</v>
      </c>
      <c r="U30" s="68">
        <v>195884.55804552001</v>
      </c>
      <c r="V30" s="68">
        <v>195059.43227282999</v>
      </c>
      <c r="W30" s="68">
        <v>191969.13551295002</v>
      </c>
      <c r="X30" s="68">
        <v>193564.04805987002</v>
      </c>
      <c r="Y30" s="68">
        <v>192276.66321178997</v>
      </c>
      <c r="Z30" s="68">
        <v>188096.47701088001</v>
      </c>
      <c r="AA30" s="68">
        <v>174606.49444082999</v>
      </c>
      <c r="AB30" s="68">
        <v>176727.75923492998</v>
      </c>
      <c r="AC30" s="68">
        <v>174082.76637086002</v>
      </c>
      <c r="AD30" s="68">
        <v>174836.93882577002</v>
      </c>
      <c r="AE30" s="68">
        <v>172360.02242135999</v>
      </c>
      <c r="AF30" s="68">
        <v>170631.97144343</v>
      </c>
      <c r="AG30" s="68">
        <v>165871.71816821999</v>
      </c>
      <c r="AH30" s="68">
        <v>160127.2599832</v>
      </c>
      <c r="AI30" s="68">
        <v>165201.85877632</v>
      </c>
      <c r="AJ30" s="68">
        <v>160983.13528255999</v>
      </c>
      <c r="AK30" s="68">
        <v>157706.69035147998</v>
      </c>
      <c r="AL30" s="68">
        <v>163940.74199230998</v>
      </c>
      <c r="AM30" s="68">
        <v>161923.86041749001</v>
      </c>
      <c r="AN30" s="68">
        <v>176496.45475759997</v>
      </c>
      <c r="AO30" s="68">
        <v>170806.40015924003</v>
      </c>
      <c r="AP30" s="68">
        <v>168138.89150303998</v>
      </c>
      <c r="AQ30" s="68">
        <v>143032.50698696999</v>
      </c>
      <c r="AR30" s="68">
        <v>146761.85453525998</v>
      </c>
      <c r="AS30" s="68">
        <v>146446.10269610002</v>
      </c>
      <c r="AT30" s="68">
        <v>128696.26079811997</v>
      </c>
      <c r="AU30" s="68">
        <v>129378.10727183998</v>
      </c>
      <c r="AV30" s="68">
        <v>131398.60647009002</v>
      </c>
      <c r="AW30" s="68">
        <v>129028.88084596003</v>
      </c>
      <c r="AX30" s="68">
        <v>131727.46024643996</v>
      </c>
      <c r="AY30" s="68">
        <v>129834.48729656998</v>
      </c>
      <c r="AZ30" s="68">
        <v>128866.23570108996</v>
      </c>
      <c r="BA30" s="68">
        <v>131155.42372687001</v>
      </c>
      <c r="BB30" s="68">
        <v>118652.38469256001</v>
      </c>
      <c r="BC30" s="68">
        <v>118030.47621099002</v>
      </c>
      <c r="BD30" s="68">
        <v>112161.45582900001</v>
      </c>
      <c r="BE30" s="68">
        <v>111194.73125429999</v>
      </c>
      <c r="BF30" s="68">
        <v>99972.514340379974</v>
      </c>
      <c r="BG30" s="68">
        <v>100453.25129315996</v>
      </c>
      <c r="BH30" s="68">
        <v>88017.891130310018</v>
      </c>
      <c r="BI30" s="68">
        <v>79443.520104460011</v>
      </c>
      <c r="BJ30" s="68">
        <v>81199.918187069998</v>
      </c>
      <c r="BK30" s="57">
        <v>83634.631353899953</v>
      </c>
      <c r="BL30" s="68">
        <v>82931.690240769996</v>
      </c>
      <c r="BM30" s="68">
        <v>84302.271626929985</v>
      </c>
      <c r="BN30" s="68">
        <v>88932.576832579973</v>
      </c>
      <c r="BO30" s="68">
        <v>100222.66891577002</v>
      </c>
      <c r="BP30" s="68">
        <v>110502.02177658002</v>
      </c>
      <c r="BQ30" s="68">
        <v>112310.72305598002</v>
      </c>
      <c r="BR30" s="68">
        <v>119138.44646183998</v>
      </c>
      <c r="BS30" s="68">
        <v>129817.81090214002</v>
      </c>
      <c r="BT30" s="68">
        <v>136219.39207676999</v>
      </c>
      <c r="BU30" s="68">
        <v>144204.62905927</v>
      </c>
      <c r="BV30" s="68">
        <v>145020.65470643001</v>
      </c>
      <c r="BW30" s="68">
        <v>144700.92309736999</v>
      </c>
      <c r="BX30" s="68">
        <v>144989.23121813999</v>
      </c>
      <c r="BY30" s="68">
        <v>147252.99215856002</v>
      </c>
      <c r="BZ30" s="68">
        <v>141103.46763990997</v>
      </c>
      <c r="CA30" s="68">
        <v>141012.49446772001</v>
      </c>
      <c r="CB30" s="68">
        <v>169734.40491735004</v>
      </c>
      <c r="CC30" s="68">
        <v>168806.34146083999</v>
      </c>
      <c r="CD30" s="68">
        <v>168135.78814436001</v>
      </c>
      <c r="CE30" s="68">
        <v>169697.06154958002</v>
      </c>
      <c r="CF30" s="68">
        <v>167048.68122309001</v>
      </c>
      <c r="CG30" s="68">
        <v>172698.09909628003</v>
      </c>
      <c r="CH30" s="68">
        <v>171548.28110952998</v>
      </c>
      <c r="CI30" s="68">
        <v>170721.07715831997</v>
      </c>
      <c r="CJ30" s="68">
        <v>172567.26296038</v>
      </c>
      <c r="CK30" s="68">
        <v>172716.91631399002</v>
      </c>
      <c r="CL30" s="68">
        <v>174579.04907148998</v>
      </c>
      <c r="CM30" s="60">
        <v>172422.85162392998</v>
      </c>
      <c r="CN30" s="60">
        <v>171941.55106483996</v>
      </c>
      <c r="CO30" s="60">
        <v>173032.05721885999</v>
      </c>
      <c r="CP30" s="60">
        <v>172408.53005887999</v>
      </c>
      <c r="CQ30" s="60">
        <v>171595.11248817001</v>
      </c>
      <c r="CR30" s="60">
        <v>171435.33709727999</v>
      </c>
      <c r="CS30" s="60">
        <v>160267.72782950001</v>
      </c>
      <c r="CT30" s="60">
        <v>167715.80946666998</v>
      </c>
      <c r="CU30" s="60">
        <v>169219.20836571002</v>
      </c>
      <c r="CV30" s="60">
        <v>159330.33344772999</v>
      </c>
      <c r="CW30" s="60">
        <v>160460.13023999002</v>
      </c>
      <c r="CX30" s="60">
        <v>160185.42371838997</v>
      </c>
      <c r="CY30" s="60">
        <v>161535.24676716997</v>
      </c>
      <c r="CZ30" s="60">
        <v>155241.98412015999</v>
      </c>
      <c r="DA30" s="60">
        <v>153694.00732254999</v>
      </c>
      <c r="DB30" s="60">
        <v>150178.7389727</v>
      </c>
      <c r="DC30" s="60">
        <v>150069.52774816999</v>
      </c>
      <c r="DD30" s="60">
        <v>151117.15944988001</v>
      </c>
      <c r="DE30" s="60">
        <v>121312.28178801</v>
      </c>
      <c r="DF30" s="60">
        <v>122386.67422489</v>
      </c>
      <c r="DG30" s="60">
        <v>122362.84189334001</v>
      </c>
    </row>
    <row r="31" spans="1:113" s="72" customFormat="1" x14ac:dyDescent="0.3">
      <c r="A31" s="69" t="s">
        <v>16</v>
      </c>
      <c r="B31" s="65">
        <v>205383.62928425003</v>
      </c>
      <c r="C31" s="65">
        <v>203607.67696300999</v>
      </c>
      <c r="D31" s="65">
        <v>191627.18304798999</v>
      </c>
      <c r="E31" s="65">
        <v>187327.22564539005</v>
      </c>
      <c r="F31" s="65">
        <v>186359.37822894007</v>
      </c>
      <c r="G31" s="65">
        <v>183638.17427898006</v>
      </c>
      <c r="H31" s="65">
        <v>185864.72947750994</v>
      </c>
      <c r="I31" s="65">
        <v>178110.53299284016</v>
      </c>
      <c r="J31" s="68">
        <v>177656.32798114006</v>
      </c>
      <c r="K31" s="66">
        <v>176212.40379595</v>
      </c>
      <c r="L31" s="66">
        <v>167473.69217468999</v>
      </c>
      <c r="M31" s="65">
        <v>156833.64161640999</v>
      </c>
      <c r="N31" s="68">
        <v>179581.10803474</v>
      </c>
      <c r="O31" s="66">
        <v>173100.25013974</v>
      </c>
      <c r="P31" s="66">
        <v>170539.27433188999</v>
      </c>
      <c r="Q31" s="66">
        <v>167727.13256694999</v>
      </c>
      <c r="R31" s="66">
        <v>168139.91447662999</v>
      </c>
      <c r="S31" s="66">
        <v>167466.92140485</v>
      </c>
      <c r="T31" s="66">
        <v>168338.09966646001</v>
      </c>
      <c r="U31" s="66">
        <v>179043.45230454</v>
      </c>
      <c r="V31" s="66">
        <v>178236.88814518999</v>
      </c>
      <c r="W31" s="66">
        <v>177247.99902759999</v>
      </c>
      <c r="X31" s="66">
        <v>158975.95121273</v>
      </c>
      <c r="Y31" s="66">
        <v>151194.50020712</v>
      </c>
      <c r="Z31" s="66">
        <v>156163.22126142</v>
      </c>
      <c r="AA31" s="66">
        <v>146894.08914257999</v>
      </c>
      <c r="AB31" s="66">
        <v>147697.32969014</v>
      </c>
      <c r="AC31" s="66">
        <v>139399.68743411999</v>
      </c>
      <c r="AD31" s="66">
        <v>140017.10374195999</v>
      </c>
      <c r="AE31" s="66">
        <v>136399.51104546001</v>
      </c>
      <c r="AF31" s="66">
        <v>130406.73256177999</v>
      </c>
      <c r="AG31" s="66">
        <v>129115.88491994</v>
      </c>
      <c r="AH31" s="66">
        <v>119072.7766888</v>
      </c>
      <c r="AI31" s="66">
        <v>121672.31767619999</v>
      </c>
      <c r="AJ31" s="66">
        <v>118803.69384367</v>
      </c>
      <c r="AK31" s="66">
        <v>107476.11865098</v>
      </c>
      <c r="AL31" s="66">
        <v>111359.56231864</v>
      </c>
      <c r="AM31" s="66">
        <v>108852.36952584999</v>
      </c>
      <c r="AN31" s="66">
        <v>120799.55505320001</v>
      </c>
      <c r="AO31" s="66">
        <v>116581.89780607</v>
      </c>
      <c r="AP31" s="66">
        <v>116748.08689265999</v>
      </c>
      <c r="AQ31" s="66">
        <v>116680.54820205001</v>
      </c>
      <c r="AR31" s="66">
        <v>120519.82454117</v>
      </c>
      <c r="AS31" s="66">
        <v>121116.08781940999</v>
      </c>
      <c r="AT31" s="66">
        <v>106679.91115991</v>
      </c>
      <c r="AU31" s="66">
        <v>102522.18809588</v>
      </c>
      <c r="AV31" s="66">
        <v>100876.65693603001</v>
      </c>
      <c r="AW31" s="66">
        <v>95890.841992550006</v>
      </c>
      <c r="AX31" s="66">
        <v>96260.844240840001</v>
      </c>
      <c r="AY31" s="66">
        <v>93637.618149240006</v>
      </c>
      <c r="AZ31" s="66">
        <v>92942.204231120006</v>
      </c>
      <c r="BA31" s="66">
        <v>93545.786532600003</v>
      </c>
      <c r="BB31" s="66">
        <v>89187.353457570003</v>
      </c>
      <c r="BC31" s="66">
        <v>87546.685549129994</v>
      </c>
      <c r="BD31" s="66">
        <v>85046.629363059998</v>
      </c>
      <c r="BE31" s="66">
        <v>82955.561343959998</v>
      </c>
      <c r="BF31" s="66">
        <v>78086.639569470004</v>
      </c>
      <c r="BG31" s="66">
        <v>76107.693521749999</v>
      </c>
      <c r="BH31" s="66">
        <v>72880.783693859994</v>
      </c>
      <c r="BI31" s="66">
        <v>71426.244462279996</v>
      </c>
      <c r="BJ31" s="66">
        <v>74223.400179859993</v>
      </c>
      <c r="BK31" s="71">
        <v>24476.951798009999</v>
      </c>
      <c r="BL31" s="66">
        <v>22148.25574035</v>
      </c>
      <c r="BM31" s="66">
        <v>23671.468661570001</v>
      </c>
      <c r="BN31" s="66">
        <v>24838.148089499999</v>
      </c>
      <c r="BO31" s="66">
        <v>33081.82410931</v>
      </c>
      <c r="BP31" s="66">
        <v>40966.778742850001</v>
      </c>
      <c r="BQ31" s="66">
        <v>43071.590121720001</v>
      </c>
      <c r="BR31" s="66">
        <v>50299.284175879999</v>
      </c>
      <c r="BS31" s="66">
        <v>54559.349617419997</v>
      </c>
      <c r="BT31" s="66">
        <v>56518.436383339998</v>
      </c>
      <c r="BU31" s="66">
        <v>59627.085865180001</v>
      </c>
      <c r="BV31" s="66">
        <v>63050.890109990003</v>
      </c>
      <c r="BW31" s="66">
        <v>62010.438171269998</v>
      </c>
      <c r="BX31" s="66">
        <v>63664.606310679999</v>
      </c>
      <c r="BY31" s="66">
        <v>62493.963956929998</v>
      </c>
      <c r="BZ31" s="66">
        <v>61330.298483220002</v>
      </c>
      <c r="CA31" s="66">
        <v>60630.255685999997</v>
      </c>
      <c r="CB31" s="66">
        <v>35737.371553179997</v>
      </c>
      <c r="CC31" s="66">
        <v>33796.63989292</v>
      </c>
      <c r="CD31" s="66">
        <v>33363.65604948</v>
      </c>
      <c r="CE31" s="66">
        <v>33870.059975839999</v>
      </c>
      <c r="CF31" s="66">
        <v>34323.844793290002</v>
      </c>
      <c r="CG31" s="66">
        <v>32426.79932274</v>
      </c>
      <c r="CH31" s="66">
        <v>32347.368497430001</v>
      </c>
      <c r="CI31" s="66">
        <v>31951.834280899999</v>
      </c>
      <c r="CJ31" s="66">
        <v>31909.162785500001</v>
      </c>
      <c r="CK31" s="66">
        <v>31492.625251099998</v>
      </c>
      <c r="CL31" s="66">
        <v>30585.372484430001</v>
      </c>
      <c r="CM31" s="66">
        <v>30003.494524729998</v>
      </c>
      <c r="CN31" s="66">
        <v>29631.250343920001</v>
      </c>
      <c r="CO31" s="66">
        <v>29333.450839550002</v>
      </c>
      <c r="CP31" s="66">
        <v>28723.106425890001</v>
      </c>
      <c r="CQ31" s="66">
        <v>27873.61096102</v>
      </c>
      <c r="CR31" s="66">
        <v>27205.963009669998</v>
      </c>
      <c r="CS31" s="66">
        <v>25825.504679270001</v>
      </c>
      <c r="CT31" s="66">
        <v>24687.130262580002</v>
      </c>
      <c r="CU31" s="66">
        <v>24269.823156760001</v>
      </c>
      <c r="CV31" s="66">
        <v>23695.609562450001</v>
      </c>
      <c r="CW31" s="66">
        <v>24039.6520208</v>
      </c>
      <c r="CX31" s="66">
        <v>23842.659707930001</v>
      </c>
      <c r="CY31" s="66">
        <v>23131.76208439</v>
      </c>
      <c r="CZ31" s="66">
        <v>20911.990113</v>
      </c>
      <c r="DA31" s="66">
        <v>20263.26965296</v>
      </c>
      <c r="DB31" s="66">
        <v>19889.63802033</v>
      </c>
      <c r="DC31" s="66">
        <v>19911.415903540001</v>
      </c>
      <c r="DD31" s="66">
        <v>19263.749859759999</v>
      </c>
      <c r="DE31" s="66">
        <v>18562.796925219998</v>
      </c>
      <c r="DF31" s="66">
        <v>18893.95397961</v>
      </c>
      <c r="DG31" s="66">
        <v>18906.379478610001</v>
      </c>
    </row>
    <row r="32" spans="1:113" s="63" customFormat="1" x14ac:dyDescent="0.3">
      <c r="A32" s="57" t="s">
        <v>17</v>
      </c>
      <c r="B32" s="65">
        <v>27827.487168869982</v>
      </c>
      <c r="C32" s="65">
        <v>27323.515686120001</v>
      </c>
      <c r="D32" s="65">
        <v>27062.888182790011</v>
      </c>
      <c r="E32" s="65">
        <v>25834.35048074001</v>
      </c>
      <c r="F32" s="65">
        <v>26772.972586680018</v>
      </c>
      <c r="G32" s="65">
        <v>27941.913077830028</v>
      </c>
      <c r="H32" s="65">
        <v>29097.411505650009</v>
      </c>
      <c r="I32" s="65">
        <v>29171.448983949995</v>
      </c>
      <c r="J32" s="61">
        <v>29280.306521930019</v>
      </c>
      <c r="K32" s="61">
        <v>28976.26732286</v>
      </c>
      <c r="L32" s="60">
        <v>28860.332504059999</v>
      </c>
      <c r="M32" s="65">
        <v>30168.807464720001</v>
      </c>
      <c r="N32" s="66">
        <v>32692.585091140001</v>
      </c>
      <c r="O32" s="66">
        <v>31138.604873169999</v>
      </c>
      <c r="P32" s="66">
        <v>31172.615971750001</v>
      </c>
      <c r="Q32" s="66">
        <v>31606.715886919999</v>
      </c>
      <c r="R32" s="66">
        <v>31954.829985439999</v>
      </c>
      <c r="S32" s="66">
        <v>30951.714049440001</v>
      </c>
      <c r="T32" s="66">
        <v>31817.421506250001</v>
      </c>
      <c r="U32" s="66">
        <v>34180.499116680003</v>
      </c>
      <c r="V32" s="66">
        <v>34463.259354139998</v>
      </c>
      <c r="W32" s="66">
        <v>33011.455775659997</v>
      </c>
      <c r="X32" s="66">
        <v>33184.80250541</v>
      </c>
      <c r="Y32" s="66">
        <v>31233.023589879998</v>
      </c>
      <c r="Z32" s="66">
        <v>31347.846229219998</v>
      </c>
      <c r="AA32" s="66">
        <v>30670.00404553</v>
      </c>
      <c r="AB32" s="66">
        <v>29622.13860486</v>
      </c>
      <c r="AC32" s="66">
        <v>30162.448625410001</v>
      </c>
      <c r="AD32" s="66">
        <v>30263.515097169999</v>
      </c>
      <c r="AE32" s="66">
        <v>29954.422273669999</v>
      </c>
      <c r="AF32" s="66">
        <v>28753.908329490001</v>
      </c>
      <c r="AG32" s="66">
        <v>29001.74199527</v>
      </c>
      <c r="AH32" s="66">
        <v>28513.197447719998</v>
      </c>
      <c r="AI32" s="66">
        <v>29368.515786150001</v>
      </c>
      <c r="AJ32" s="66">
        <v>28962.098117760001</v>
      </c>
      <c r="AK32" s="66">
        <v>26401.079713790001</v>
      </c>
      <c r="AL32" s="66">
        <v>27089.636015690001</v>
      </c>
      <c r="AM32" s="66">
        <v>27081.597544420001</v>
      </c>
      <c r="AN32" s="66">
        <v>28820.82008025</v>
      </c>
      <c r="AO32" s="66">
        <v>28236.166750519998</v>
      </c>
      <c r="AP32" s="66">
        <v>29219.198647739999</v>
      </c>
      <c r="AQ32" s="66">
        <v>28812.624341760002</v>
      </c>
      <c r="AR32" s="66">
        <v>29400.781643350001</v>
      </c>
      <c r="AS32" s="66">
        <v>29589.46122329</v>
      </c>
      <c r="AT32" s="66">
        <v>27468.440117530001</v>
      </c>
      <c r="AU32" s="66">
        <v>27443.652414669999</v>
      </c>
      <c r="AV32" s="66">
        <v>27517.831533650002</v>
      </c>
      <c r="AW32" s="66">
        <v>23975.33221353</v>
      </c>
      <c r="AX32" s="66">
        <v>24133.152593089999</v>
      </c>
      <c r="AY32" s="66">
        <v>23615.003351650001</v>
      </c>
      <c r="AZ32" s="66">
        <v>22802.260255829999</v>
      </c>
      <c r="BA32" s="66">
        <v>23189.259211789999</v>
      </c>
      <c r="BB32" s="66">
        <v>22784.67759395</v>
      </c>
      <c r="BC32" s="66">
        <v>22509.291616409999</v>
      </c>
      <c r="BD32" s="66">
        <v>21840.0383984</v>
      </c>
      <c r="BE32" s="66">
        <v>21592.379355190002</v>
      </c>
      <c r="BF32" s="66">
        <v>21037.283477839999</v>
      </c>
      <c r="BG32" s="66">
        <v>20649.78624954</v>
      </c>
      <c r="BH32" s="66">
        <v>20253.715361850001</v>
      </c>
      <c r="BI32" s="66">
        <v>19727.798552259999</v>
      </c>
      <c r="BJ32" s="66">
        <v>20428.934297880001</v>
      </c>
      <c r="BK32" s="57">
        <v>21307.34370904</v>
      </c>
      <c r="BL32" s="66">
        <v>25654.509346679999</v>
      </c>
      <c r="BM32" s="66">
        <v>26359.079315449999</v>
      </c>
      <c r="BN32" s="66">
        <v>27913.737380009999</v>
      </c>
      <c r="BO32" s="66">
        <v>28665.468683710002</v>
      </c>
      <c r="BP32" s="66">
        <v>32671.323433540001</v>
      </c>
      <c r="BQ32" s="66">
        <v>33404.05050048</v>
      </c>
      <c r="BR32" s="66">
        <v>42518.817400990003</v>
      </c>
      <c r="BS32" s="66">
        <v>45434.07154461</v>
      </c>
      <c r="BT32" s="66">
        <v>48684.946560069999</v>
      </c>
      <c r="BU32" s="66">
        <v>49343.839992649999</v>
      </c>
      <c r="BV32" s="66">
        <v>50396.366396589998</v>
      </c>
      <c r="BW32" s="66">
        <v>49740.493245680002</v>
      </c>
      <c r="BX32" s="66">
        <v>46696.98888261</v>
      </c>
      <c r="BY32" s="66">
        <v>46785.184375199999</v>
      </c>
      <c r="BZ32" s="66">
        <v>46704.242630679997</v>
      </c>
      <c r="CA32" s="66">
        <v>44411.188445599997</v>
      </c>
      <c r="CB32" s="66">
        <v>45188.770079859998</v>
      </c>
      <c r="CC32" s="66">
        <v>44255.246128830004</v>
      </c>
      <c r="CD32" s="66">
        <v>41493.689437510002</v>
      </c>
      <c r="CE32" s="66">
        <v>42248.493854959997</v>
      </c>
      <c r="CF32" s="66">
        <v>42426.401195710001</v>
      </c>
      <c r="CG32" s="66">
        <v>37300.33908749</v>
      </c>
      <c r="CH32" s="66">
        <v>36615.462273199999</v>
      </c>
      <c r="CI32" s="66">
        <v>36892.999777440004</v>
      </c>
      <c r="CJ32" s="66">
        <v>35594.002342799999</v>
      </c>
      <c r="CK32" s="66">
        <v>35783.593259419999</v>
      </c>
      <c r="CL32" s="66">
        <v>35191.462335520002</v>
      </c>
      <c r="CM32" s="61">
        <v>34744.837147960003</v>
      </c>
      <c r="CN32" s="61">
        <v>34164.111713240003</v>
      </c>
      <c r="CO32" s="61">
        <v>35346.872755110002</v>
      </c>
      <c r="CP32" s="61">
        <v>35604.391949999997</v>
      </c>
      <c r="CQ32" s="61">
        <v>37003.595082519998</v>
      </c>
      <c r="CR32" s="61">
        <v>36935.659902450003</v>
      </c>
      <c r="CS32" s="61">
        <v>36559.068760460003</v>
      </c>
      <c r="CT32" s="61">
        <v>34956.033479049998</v>
      </c>
      <c r="CU32" s="61">
        <v>32783.922804970003</v>
      </c>
      <c r="CV32" s="61">
        <v>30808.880379909999</v>
      </c>
      <c r="CW32" s="61">
        <v>31758.228752980001</v>
      </c>
      <c r="CX32" s="61">
        <v>31724.944797110002</v>
      </c>
      <c r="CY32" s="61">
        <v>32741.02329786</v>
      </c>
      <c r="CZ32" s="61">
        <v>32847.657711729997</v>
      </c>
      <c r="DA32" s="61">
        <v>33241.546576890003</v>
      </c>
      <c r="DB32" s="61">
        <v>32149.213734540001</v>
      </c>
      <c r="DC32" s="61">
        <v>31900.839926199998</v>
      </c>
      <c r="DD32" s="61">
        <v>32513.195219820002</v>
      </c>
      <c r="DE32" s="61">
        <v>30613.66814854</v>
      </c>
      <c r="DF32" s="61">
        <v>31200.160844720001</v>
      </c>
      <c r="DG32" s="61">
        <v>30687.00231897</v>
      </c>
    </row>
    <row r="33" spans="1:111" s="72" customFormat="1" x14ac:dyDescent="0.3">
      <c r="A33" s="71" t="s">
        <v>18</v>
      </c>
      <c r="B33" s="68">
        <v>13437.550875480001</v>
      </c>
      <c r="C33" s="68">
        <v>9689.0926002800006</v>
      </c>
      <c r="D33" s="68">
        <v>11362.953459690001</v>
      </c>
      <c r="E33" s="68">
        <v>10329.398791599999</v>
      </c>
      <c r="F33" s="68">
        <v>13833.955614230001</v>
      </c>
      <c r="G33" s="68">
        <v>16122.317545369997</v>
      </c>
      <c r="H33" s="68">
        <v>16787.101525899998</v>
      </c>
      <c r="I33" s="68">
        <v>17156.154594470005</v>
      </c>
      <c r="J33" s="65">
        <v>17816.232932510004</v>
      </c>
      <c r="K33" s="66">
        <v>17993.966683440001</v>
      </c>
      <c r="L33" s="67">
        <v>18123.82336907</v>
      </c>
      <c r="M33" s="66">
        <v>10433.22674876</v>
      </c>
      <c r="N33" s="68">
        <v>10474.68381972</v>
      </c>
      <c r="O33" s="68">
        <v>10909.003606169999</v>
      </c>
      <c r="P33" s="66">
        <v>13755.28263258</v>
      </c>
      <c r="Q33" s="66">
        <v>14586.1703167</v>
      </c>
      <c r="R33" s="66">
        <v>14686.98806668</v>
      </c>
      <c r="S33" s="66">
        <v>14830.32722626</v>
      </c>
      <c r="T33" s="66">
        <v>11112.866661870001</v>
      </c>
      <c r="U33" s="66">
        <v>11344.26568823</v>
      </c>
      <c r="V33" s="66">
        <v>11326.965350750001</v>
      </c>
      <c r="W33" s="66">
        <v>19837.167680620001</v>
      </c>
      <c r="X33" s="66">
        <v>33291.84492571</v>
      </c>
      <c r="Y33" s="66">
        <v>11238.24100604</v>
      </c>
      <c r="Z33" s="66">
        <v>11247.132797640001</v>
      </c>
      <c r="AA33" s="66">
        <v>11140.913113729999</v>
      </c>
      <c r="AB33" s="66">
        <v>11435.450568570001</v>
      </c>
      <c r="AC33" s="66">
        <v>11648.36584869</v>
      </c>
      <c r="AD33" s="66">
        <v>0</v>
      </c>
      <c r="AE33" s="66">
        <v>0</v>
      </c>
      <c r="AF33" s="66">
        <v>0</v>
      </c>
      <c r="AG33" s="66">
        <v>0</v>
      </c>
      <c r="AH33" s="66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</v>
      </c>
      <c r="AQ33" s="66">
        <v>0</v>
      </c>
      <c r="AR33" s="66">
        <v>0</v>
      </c>
      <c r="AS33" s="66">
        <v>79.117019990000003</v>
      </c>
      <c r="AT33" s="66">
        <v>0</v>
      </c>
      <c r="AU33" s="66">
        <v>0</v>
      </c>
      <c r="AV33" s="66">
        <v>0</v>
      </c>
      <c r="AW33" s="66">
        <v>279.61528787999998</v>
      </c>
      <c r="AX33" s="66">
        <v>0</v>
      </c>
      <c r="AY33" s="66">
        <v>0</v>
      </c>
      <c r="AZ33" s="66">
        <v>0</v>
      </c>
      <c r="BA33" s="66">
        <v>0</v>
      </c>
      <c r="BB33" s="66">
        <v>0</v>
      </c>
      <c r="BC33" s="66">
        <v>0</v>
      </c>
      <c r="BD33" s="66">
        <v>0</v>
      </c>
      <c r="BE33" s="66">
        <v>533.04868090000002</v>
      </c>
      <c r="BF33" s="66">
        <v>0</v>
      </c>
      <c r="BG33" s="66">
        <v>0</v>
      </c>
      <c r="BH33" s="66">
        <v>0</v>
      </c>
      <c r="BI33" s="66">
        <v>0</v>
      </c>
      <c r="BJ33" s="66">
        <v>0</v>
      </c>
      <c r="BK33" s="71">
        <v>0</v>
      </c>
      <c r="BL33" s="66">
        <v>0</v>
      </c>
      <c r="BM33" s="66">
        <v>0</v>
      </c>
      <c r="BN33" s="66">
        <v>0</v>
      </c>
      <c r="BO33" s="66">
        <v>2415.3322346499999</v>
      </c>
      <c r="BP33" s="66">
        <v>0</v>
      </c>
      <c r="BQ33" s="66">
        <v>128.36641768999999</v>
      </c>
      <c r="BR33" s="66">
        <v>160.14537655999999</v>
      </c>
      <c r="BS33" s="66">
        <v>0</v>
      </c>
      <c r="BT33" s="66">
        <v>0</v>
      </c>
      <c r="BU33" s="66">
        <v>0</v>
      </c>
      <c r="BV33" s="66">
        <v>0</v>
      </c>
      <c r="BW33" s="66">
        <v>0</v>
      </c>
      <c r="BX33" s="66">
        <v>0</v>
      </c>
      <c r="BY33" s="66">
        <v>0</v>
      </c>
      <c r="BZ33" s="66">
        <v>0</v>
      </c>
      <c r="CA33" s="66">
        <v>0</v>
      </c>
      <c r="CB33" s="66">
        <v>0</v>
      </c>
      <c r="CC33" s="66">
        <v>0</v>
      </c>
      <c r="CD33" s="66">
        <v>0</v>
      </c>
      <c r="CE33" s="66">
        <v>0</v>
      </c>
      <c r="CF33" s="66">
        <v>0</v>
      </c>
      <c r="CG33" s="66">
        <v>0</v>
      </c>
      <c r="CH33" s="66">
        <v>0</v>
      </c>
      <c r="CI33" s="66">
        <v>0</v>
      </c>
      <c r="CJ33" s="66">
        <v>0</v>
      </c>
      <c r="CK33" s="66">
        <v>0</v>
      </c>
      <c r="CL33" s="66">
        <v>0</v>
      </c>
      <c r="CM33" s="66">
        <v>0</v>
      </c>
      <c r="CN33" s="66">
        <v>0</v>
      </c>
      <c r="CO33" s="66">
        <v>0</v>
      </c>
      <c r="CP33" s="66">
        <v>0</v>
      </c>
      <c r="CQ33" s="66">
        <v>0</v>
      </c>
      <c r="CR33" s="66">
        <v>0</v>
      </c>
      <c r="CS33" s="66">
        <v>246.70611306000001</v>
      </c>
      <c r="CT33" s="66">
        <v>0</v>
      </c>
      <c r="CU33" s="66">
        <v>0</v>
      </c>
      <c r="CV33" s="66">
        <v>0</v>
      </c>
      <c r="CW33" s="66">
        <v>0</v>
      </c>
      <c r="CX33" s="66">
        <v>0</v>
      </c>
      <c r="CY33" s="66">
        <v>0</v>
      </c>
      <c r="CZ33" s="66">
        <v>0</v>
      </c>
      <c r="DA33" s="66">
        <v>0</v>
      </c>
      <c r="DB33" s="66">
        <v>0</v>
      </c>
      <c r="DC33" s="66">
        <v>0</v>
      </c>
      <c r="DD33" s="66">
        <v>133.65151585999999</v>
      </c>
      <c r="DE33" s="66">
        <v>0</v>
      </c>
      <c r="DF33" s="66">
        <v>0</v>
      </c>
      <c r="DG33" s="66">
        <v>43.965567270000001</v>
      </c>
    </row>
    <row r="34" spans="1:111" s="90" customFormat="1" x14ac:dyDescent="0.3">
      <c r="A34" s="84" t="s">
        <v>20</v>
      </c>
      <c r="B34" s="85">
        <v>53.989765194472398</v>
      </c>
      <c r="C34" s="86">
        <v>55.899839487054869</v>
      </c>
      <c r="D34" s="85">
        <v>55.106021952129694</v>
      </c>
      <c r="E34" s="85">
        <v>56.597415925188741</v>
      </c>
      <c r="F34" s="85">
        <v>56.391396576708495</v>
      </c>
      <c r="G34" s="85">
        <v>57.732746000985543</v>
      </c>
      <c r="H34" s="85">
        <v>57.992258515143227</v>
      </c>
      <c r="I34" s="85">
        <v>56.935380376520619</v>
      </c>
      <c r="J34" s="85">
        <v>56.435631883587355</v>
      </c>
      <c r="K34" s="87">
        <v>55.754236070301801</v>
      </c>
      <c r="L34" s="88">
        <v>54.895736090441197</v>
      </c>
      <c r="M34" s="85">
        <v>54.5412958746154</v>
      </c>
      <c r="N34" s="89">
        <v>56.601969878517501</v>
      </c>
      <c r="O34" s="89">
        <v>56.204572587644698</v>
      </c>
      <c r="P34" s="89">
        <v>56.446150255162102</v>
      </c>
      <c r="Q34" s="89">
        <v>56.182675085233498</v>
      </c>
      <c r="R34" s="87">
        <v>56.048937934559099</v>
      </c>
      <c r="S34" s="87">
        <v>55.676186247464003</v>
      </c>
      <c r="T34" s="87">
        <v>55.059187340455203</v>
      </c>
      <c r="U34" s="87">
        <v>55.033853457842604</v>
      </c>
      <c r="V34" s="87">
        <v>54.3070530047411</v>
      </c>
      <c r="W34" s="87">
        <v>54.560794259186103</v>
      </c>
      <c r="X34" s="87">
        <v>53.731961642319803</v>
      </c>
      <c r="Y34" s="87">
        <v>52.847577059076499</v>
      </c>
      <c r="Z34" s="87">
        <v>53.194734157302896</v>
      </c>
      <c r="AA34" s="87">
        <v>52.239021231571698</v>
      </c>
      <c r="AB34" s="87">
        <v>51.675692701989298</v>
      </c>
      <c r="AC34" s="87">
        <v>51.427897550942298</v>
      </c>
      <c r="AD34" s="87">
        <v>51.2974199423222</v>
      </c>
      <c r="AE34" s="87">
        <v>50.773629259193903</v>
      </c>
      <c r="AF34" s="87">
        <v>50.199167308401499</v>
      </c>
      <c r="AG34" s="87">
        <v>49.2838836060711</v>
      </c>
      <c r="AH34" s="87">
        <v>48.9339753291774</v>
      </c>
      <c r="AI34" s="87">
        <v>48.754800086955598</v>
      </c>
      <c r="AJ34" s="87">
        <v>48.686266159401598</v>
      </c>
      <c r="AK34" s="87">
        <v>48.358511056661399</v>
      </c>
      <c r="AL34" s="87">
        <v>49.103734309817497</v>
      </c>
      <c r="AM34" s="87">
        <v>48.746828053655598</v>
      </c>
      <c r="AN34" s="87">
        <v>48.921074624075203</v>
      </c>
      <c r="AO34" s="87">
        <v>49.344831826829797</v>
      </c>
      <c r="AP34" s="87">
        <v>49.6240049832236</v>
      </c>
      <c r="AQ34" s="87">
        <v>48.4720823667381</v>
      </c>
      <c r="AR34" s="87">
        <v>48.123170507783598</v>
      </c>
      <c r="AS34" s="87">
        <v>48.051794458304599</v>
      </c>
      <c r="AT34" s="87">
        <v>45.621192513018798</v>
      </c>
      <c r="AU34" s="87">
        <v>43.372813876209101</v>
      </c>
      <c r="AV34" s="87">
        <v>42.034733103099299</v>
      </c>
      <c r="AW34" s="87">
        <v>41.004095541476097</v>
      </c>
      <c r="AX34" s="87">
        <v>40.977291597793403</v>
      </c>
      <c r="AY34" s="87">
        <v>40.368483850064798</v>
      </c>
      <c r="AZ34" s="87">
        <v>39.934884960305801</v>
      </c>
      <c r="BA34" s="87">
        <v>39.566266527178897</v>
      </c>
      <c r="BB34" s="87">
        <v>37.847040649028997</v>
      </c>
      <c r="BC34" s="87">
        <v>37.181922405376802</v>
      </c>
      <c r="BD34" s="87">
        <v>36.300211704720603</v>
      </c>
      <c r="BE34" s="87">
        <v>34.989243940274299</v>
      </c>
      <c r="BF34" s="87">
        <v>33.260035977985702</v>
      </c>
      <c r="BG34" s="87">
        <v>32.654878988322501</v>
      </c>
      <c r="BH34" s="87">
        <v>30.672896790932999</v>
      </c>
      <c r="BI34" s="87">
        <v>30.022699831486801</v>
      </c>
      <c r="BJ34" s="87">
        <v>29.5409921883595</v>
      </c>
      <c r="BK34" s="84">
        <v>26.582476501208212</v>
      </c>
      <c r="BL34" s="87">
        <v>27.064748849422301</v>
      </c>
      <c r="BM34" s="87">
        <v>27.351897123535199</v>
      </c>
      <c r="BN34" s="87">
        <v>27.642594813788801</v>
      </c>
      <c r="BO34" s="87">
        <v>29.712683423818198</v>
      </c>
      <c r="BP34" s="87">
        <v>30.014711961660499</v>
      </c>
      <c r="BQ34" s="87">
        <v>30.767160046148799</v>
      </c>
      <c r="BR34" s="87">
        <v>33.625379523161797</v>
      </c>
      <c r="BS34" s="87">
        <v>35.538801688775003</v>
      </c>
      <c r="BT34" s="87">
        <v>36.745536312461901</v>
      </c>
      <c r="BU34" s="87">
        <v>38.119180171249901</v>
      </c>
      <c r="BV34" s="87">
        <v>38.238164146542303</v>
      </c>
      <c r="BW34" s="87">
        <v>38.4783638966883</v>
      </c>
      <c r="BX34" s="87">
        <v>38.791528910475499</v>
      </c>
      <c r="BY34" s="87">
        <v>39.291372619033702</v>
      </c>
      <c r="BZ34" s="87">
        <v>39.118253908718799</v>
      </c>
      <c r="CA34" s="87">
        <v>38.936127832348497</v>
      </c>
      <c r="CB34" s="87">
        <v>39.264948540214398</v>
      </c>
      <c r="CC34" s="87">
        <v>38.484237565251298</v>
      </c>
      <c r="CD34" s="87">
        <v>37.871728902104898</v>
      </c>
      <c r="CE34" s="87">
        <v>37.708290321112003</v>
      </c>
      <c r="CF34" s="87">
        <v>36.980230312390603</v>
      </c>
      <c r="CG34" s="87">
        <v>37.351358404909497</v>
      </c>
      <c r="CH34" s="87">
        <v>36.748852873180503</v>
      </c>
      <c r="CI34" s="87">
        <v>36.5893309331856</v>
      </c>
      <c r="CJ34" s="87">
        <v>36.0661580707064</v>
      </c>
      <c r="CK34" s="87">
        <v>35.524012931079703</v>
      </c>
      <c r="CL34" s="87">
        <v>35.0314527480149</v>
      </c>
      <c r="CM34" s="87">
        <v>34.5709178519175</v>
      </c>
      <c r="CN34" s="87">
        <v>33.871319956098603</v>
      </c>
      <c r="CO34" s="87">
        <v>33.109398649024399</v>
      </c>
      <c r="CP34" s="87">
        <v>32.336923947003399</v>
      </c>
      <c r="CQ34" s="87">
        <v>32.429206710497198</v>
      </c>
      <c r="CR34" s="87">
        <v>31.4410406556018</v>
      </c>
      <c r="CS34" s="87">
        <v>30.288270642749101</v>
      </c>
      <c r="CT34" s="87">
        <v>30.464613140333402</v>
      </c>
      <c r="CU34" s="87">
        <v>30.007495736604</v>
      </c>
      <c r="CV34" s="87">
        <v>28.570853002122501</v>
      </c>
      <c r="CW34" s="87">
        <v>28.304668913816599</v>
      </c>
      <c r="CX34" s="87">
        <v>27.890701727177799</v>
      </c>
      <c r="CY34" s="87">
        <v>27.014140791080798</v>
      </c>
      <c r="CZ34" s="87">
        <v>26.138961490345</v>
      </c>
      <c r="DA34" s="87">
        <v>25.345659497580499</v>
      </c>
      <c r="DB34" s="87">
        <v>25.035591314923199</v>
      </c>
      <c r="DC34" s="87">
        <v>24.462378890395701</v>
      </c>
      <c r="DD34" s="87">
        <v>23.913704592931701</v>
      </c>
      <c r="DE34" s="87">
        <v>13.922485111277799</v>
      </c>
      <c r="DF34" s="87">
        <v>13.8658375702963</v>
      </c>
      <c r="DG34" s="87">
        <v>13.341711652640599</v>
      </c>
    </row>
    <row r="35" spans="1:111" s="40" customFormat="1" x14ac:dyDescent="0.3">
      <c r="A35" s="91" t="s">
        <v>12</v>
      </c>
      <c r="B35" s="92"/>
      <c r="C35" s="93"/>
      <c r="D35" s="92"/>
      <c r="E35" s="92"/>
      <c r="F35" s="92"/>
      <c r="G35" s="92"/>
      <c r="H35" s="92"/>
      <c r="I35" s="92"/>
      <c r="J35" s="37"/>
      <c r="K35" s="94"/>
      <c r="L35" s="94"/>
      <c r="M35" s="92"/>
      <c r="N35" s="37"/>
      <c r="O35" s="37"/>
      <c r="P35" s="37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5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4"/>
      <c r="CH35" s="94"/>
      <c r="CI35" s="94"/>
      <c r="CJ35" s="94"/>
      <c r="CK35" s="94"/>
      <c r="CL35" s="94"/>
      <c r="CM35" s="94"/>
      <c r="CN35" s="94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</row>
    <row r="36" spans="1:111" s="40" customFormat="1" x14ac:dyDescent="0.3">
      <c r="A36" s="95" t="s">
        <v>13</v>
      </c>
      <c r="B36" s="92">
        <v>77.23221594147779</v>
      </c>
      <c r="C36" s="96">
        <v>70.23793387184773</v>
      </c>
      <c r="D36" s="92">
        <v>69.959564483027307</v>
      </c>
      <c r="E36" s="92">
        <v>71.433939906629519</v>
      </c>
      <c r="F36" s="92">
        <v>71.752758166643389</v>
      </c>
      <c r="G36" s="92">
        <v>73.102088089041089</v>
      </c>
      <c r="H36" s="92">
        <v>72.672692022375969</v>
      </c>
      <c r="I36" s="92">
        <v>71.552530192376778</v>
      </c>
      <c r="J36" s="94">
        <v>71.422498339702727</v>
      </c>
      <c r="K36" s="92">
        <v>70.543640841530504</v>
      </c>
      <c r="L36" s="37">
        <v>70.181174039740299</v>
      </c>
      <c r="M36" s="92">
        <v>71.1236906999806</v>
      </c>
      <c r="N36" s="94">
        <v>72.223335726826207</v>
      </c>
      <c r="O36" s="94">
        <v>72.138977564821403</v>
      </c>
      <c r="P36" s="94">
        <v>72.287683218109095</v>
      </c>
      <c r="Q36" s="94">
        <v>72.019770466010698</v>
      </c>
      <c r="R36" s="97">
        <v>71.830186830876002</v>
      </c>
      <c r="S36" s="97">
        <v>71.059804240825301</v>
      </c>
      <c r="T36" s="97">
        <v>70.882764394681999</v>
      </c>
      <c r="U36" s="97">
        <v>70.257172016843597</v>
      </c>
      <c r="V36" s="97">
        <v>69.401880259259997</v>
      </c>
      <c r="W36" s="97">
        <v>68.839427341433506</v>
      </c>
      <c r="X36" s="97">
        <v>68.151200258549594</v>
      </c>
      <c r="Y36" s="97">
        <v>67.918790752543401</v>
      </c>
      <c r="Z36" s="97">
        <v>67.689203368814105</v>
      </c>
      <c r="AA36" s="97">
        <v>65.640893246779001</v>
      </c>
      <c r="AB36" s="97">
        <v>65.208176034265406</v>
      </c>
      <c r="AC36" s="97">
        <v>66.216191765493093</v>
      </c>
      <c r="AD36" s="97">
        <v>66.028471887805907</v>
      </c>
      <c r="AE36" s="97">
        <v>65.384297008106401</v>
      </c>
      <c r="AF36" s="97">
        <v>65.040507087153898</v>
      </c>
      <c r="AG36" s="97">
        <v>63.952627371425798</v>
      </c>
      <c r="AH36" s="97">
        <v>63.685305481877599</v>
      </c>
      <c r="AI36" s="97">
        <v>62.965549476037097</v>
      </c>
      <c r="AJ36" s="97">
        <v>63.096325321377101</v>
      </c>
      <c r="AK36" s="97">
        <v>63.519158547510898</v>
      </c>
      <c r="AL36" s="97">
        <v>63.7500528023916</v>
      </c>
      <c r="AM36" s="97">
        <v>63.747977301318102</v>
      </c>
      <c r="AN36" s="97">
        <v>64.699016495129797</v>
      </c>
      <c r="AO36" s="97">
        <v>65.073989348342707</v>
      </c>
      <c r="AP36" s="97">
        <v>64.788884945510702</v>
      </c>
      <c r="AQ36" s="97">
        <v>63.123785996417404</v>
      </c>
      <c r="AR36" s="97">
        <v>63.541463734667502</v>
      </c>
      <c r="AS36" s="97">
        <v>63.690023459181901</v>
      </c>
      <c r="AT36" s="97">
        <v>61.902493832840896</v>
      </c>
      <c r="AU36" s="97">
        <v>59.1331016830351</v>
      </c>
      <c r="AV36" s="97">
        <v>58.066261835461901</v>
      </c>
      <c r="AW36" s="97">
        <v>57.414327579248599</v>
      </c>
      <c r="AX36" s="97">
        <v>57.228630601393498</v>
      </c>
      <c r="AY36" s="97">
        <v>56.6475929171392</v>
      </c>
      <c r="AZ36" s="97">
        <v>56.361428315039902</v>
      </c>
      <c r="BA36" s="97">
        <v>56.613536164006803</v>
      </c>
      <c r="BB36" s="97">
        <v>54.898631458633801</v>
      </c>
      <c r="BC36" s="97">
        <v>54.564616287084696</v>
      </c>
      <c r="BD36" s="97">
        <v>53.634716593926598</v>
      </c>
      <c r="BE36" s="97">
        <v>51.953491389188898</v>
      </c>
      <c r="BF36" s="97">
        <v>50.632207781455001</v>
      </c>
      <c r="BG36" s="97">
        <v>50.3468864702537</v>
      </c>
      <c r="BH36" s="97">
        <v>48.479386980374002</v>
      </c>
      <c r="BI36" s="97">
        <v>47.084848907301797</v>
      </c>
      <c r="BJ36" s="97">
        <v>46.039840099335301</v>
      </c>
      <c r="BK36" s="95">
        <v>46.356119633388374</v>
      </c>
      <c r="BL36" s="97">
        <v>46.118614185903297</v>
      </c>
      <c r="BM36" s="97">
        <v>45.602218120985398</v>
      </c>
      <c r="BN36" s="97">
        <v>45.029265505251303</v>
      </c>
      <c r="BO36" s="97">
        <v>46.453826841945499</v>
      </c>
      <c r="BP36" s="97">
        <v>45.191460794962801</v>
      </c>
      <c r="BQ36" s="97">
        <v>46.219815853353303</v>
      </c>
      <c r="BR36" s="97">
        <v>48.188041333982703</v>
      </c>
      <c r="BS36" s="97">
        <v>50.5818978169441</v>
      </c>
      <c r="BT36" s="97">
        <v>51.596591650943203</v>
      </c>
      <c r="BU36" s="97">
        <v>53.0483370062625</v>
      </c>
      <c r="BV36" s="97">
        <v>51.931152751793903</v>
      </c>
      <c r="BW36" s="97">
        <v>52.258739739638102</v>
      </c>
      <c r="BX36" s="97">
        <v>52.675229333058503</v>
      </c>
      <c r="BY36" s="97">
        <v>53.210743557127003</v>
      </c>
      <c r="BZ36" s="97">
        <v>52.6883089352987</v>
      </c>
      <c r="CA36" s="97">
        <v>52.564005144301902</v>
      </c>
      <c r="CB36" s="97">
        <v>51.388033306040803</v>
      </c>
      <c r="CC36" s="97">
        <v>50.814132660137297</v>
      </c>
      <c r="CD36" s="97">
        <v>50.262395832982101</v>
      </c>
      <c r="CE36" s="97">
        <v>49.828060970712599</v>
      </c>
      <c r="CF36" s="97">
        <v>48.831933965633802</v>
      </c>
      <c r="CG36" s="97">
        <v>50.869097409008504</v>
      </c>
      <c r="CH36" s="97">
        <v>49.419498583112002</v>
      </c>
      <c r="CI36" s="97">
        <v>49.401301807756802</v>
      </c>
      <c r="CJ36" s="97">
        <v>49.392862151099699</v>
      </c>
      <c r="CK36" s="97">
        <v>48.473429875337999</v>
      </c>
      <c r="CL36" s="97">
        <v>47.924561598236899</v>
      </c>
      <c r="CM36" s="97">
        <v>48.016777269399199</v>
      </c>
      <c r="CN36" s="97">
        <v>47.503133396442003</v>
      </c>
      <c r="CO36" s="97">
        <v>46.139344552003301</v>
      </c>
      <c r="CP36" s="97">
        <v>45.028206884289602</v>
      </c>
      <c r="CQ36" s="97">
        <v>45.351552875396898</v>
      </c>
      <c r="CR36" s="97">
        <v>44.140630925265697</v>
      </c>
      <c r="CS36" s="97">
        <v>42.969798188287797</v>
      </c>
      <c r="CT36" s="97">
        <v>42.984314068159598</v>
      </c>
      <c r="CU36" s="97">
        <v>42.9307860641971</v>
      </c>
      <c r="CV36" s="97">
        <v>41.131887601488501</v>
      </c>
      <c r="CW36" s="97">
        <v>40.9262095290837</v>
      </c>
      <c r="CX36" s="97">
        <v>40.464882203448099</v>
      </c>
      <c r="CY36" s="97">
        <v>38.538695654047501</v>
      </c>
      <c r="CZ36" s="97">
        <v>37.854695563280501</v>
      </c>
      <c r="DA36" s="97">
        <v>37.116527053884397</v>
      </c>
      <c r="DB36" s="97">
        <v>36.777296192113901</v>
      </c>
      <c r="DC36" s="97">
        <v>36.278041470348597</v>
      </c>
      <c r="DD36" s="97">
        <v>35.465240514471802</v>
      </c>
      <c r="DE36" s="97">
        <v>19.831182755981299</v>
      </c>
      <c r="DF36" s="97">
        <v>19.6368726513154</v>
      </c>
      <c r="DG36" s="97">
        <v>18.693313786713698</v>
      </c>
    </row>
    <row r="37" spans="1:111" s="40" customFormat="1" x14ac:dyDescent="0.3">
      <c r="A37" s="91" t="s">
        <v>14</v>
      </c>
      <c r="B37" s="92">
        <v>82.998795321639278</v>
      </c>
      <c r="C37" s="96">
        <v>80.4164498099898</v>
      </c>
      <c r="D37" s="92">
        <v>80.612747568768754</v>
      </c>
      <c r="E37" s="92">
        <v>83.642631639619566</v>
      </c>
      <c r="F37" s="92">
        <v>83.642631639619566</v>
      </c>
      <c r="G37" s="92">
        <v>88.83186994976549</v>
      </c>
      <c r="H37" s="92">
        <v>87.639042690878128</v>
      </c>
      <c r="I37" s="92">
        <v>86.321640758129746</v>
      </c>
      <c r="J37" s="37">
        <v>85.871815905417066</v>
      </c>
      <c r="K37" s="37">
        <v>86.507998978028098</v>
      </c>
      <c r="L37" s="97">
        <v>86.035590968416798</v>
      </c>
      <c r="M37" s="92">
        <v>87.637591315221698</v>
      </c>
      <c r="N37" s="37">
        <v>87.017351808000299</v>
      </c>
      <c r="O37" s="37">
        <v>86.674007395141103</v>
      </c>
      <c r="P37" s="37">
        <v>85.663248143521699</v>
      </c>
      <c r="Q37" s="94">
        <v>85.406787704385707</v>
      </c>
      <c r="R37" s="94">
        <v>85.072363298808199</v>
      </c>
      <c r="S37" s="94">
        <v>84.635914547020505</v>
      </c>
      <c r="T37" s="94">
        <v>84.536143539163703</v>
      </c>
      <c r="U37" s="94">
        <v>84.241543781322903</v>
      </c>
      <c r="V37" s="97">
        <v>83.310798491402593</v>
      </c>
      <c r="W37" s="97">
        <v>83.9297438063264</v>
      </c>
      <c r="X37" s="94">
        <v>83.2401322360096</v>
      </c>
      <c r="Y37" s="94">
        <v>83.351406869001096</v>
      </c>
      <c r="Z37" s="94">
        <v>83.006325998615907</v>
      </c>
      <c r="AA37" s="94">
        <v>82.681329065980705</v>
      </c>
      <c r="AB37" s="94">
        <v>82.358393662927497</v>
      </c>
      <c r="AC37" s="94">
        <v>82.0762335094403</v>
      </c>
      <c r="AD37" s="94">
        <v>81.6299994606414</v>
      </c>
      <c r="AE37" s="94">
        <v>81.455392712142995</v>
      </c>
      <c r="AF37" s="94">
        <v>81.221835335848397</v>
      </c>
      <c r="AG37" s="94">
        <v>80.921066634430105</v>
      </c>
      <c r="AH37" s="94">
        <v>80.693736977056304</v>
      </c>
      <c r="AI37" s="94">
        <v>79.144692548684702</v>
      </c>
      <c r="AJ37" s="94">
        <v>78.426736863263699</v>
      </c>
      <c r="AK37" s="94">
        <v>78.383300701538502</v>
      </c>
      <c r="AL37" s="94">
        <v>78.419751682494606</v>
      </c>
      <c r="AM37" s="94">
        <v>78.247756991973503</v>
      </c>
      <c r="AN37" s="94">
        <v>78.660654842336697</v>
      </c>
      <c r="AO37" s="94">
        <v>79.361374042823201</v>
      </c>
      <c r="AP37" s="94">
        <v>79.273402290054605</v>
      </c>
      <c r="AQ37" s="94">
        <v>79.302807672327404</v>
      </c>
      <c r="AR37" s="94">
        <v>79.628146924502801</v>
      </c>
      <c r="AS37" s="94">
        <v>79.436355493317194</v>
      </c>
      <c r="AT37" s="94">
        <v>79.2398556103728</v>
      </c>
      <c r="AU37" s="94">
        <v>76.738226073557797</v>
      </c>
      <c r="AV37" s="94">
        <v>74.418998372073801</v>
      </c>
      <c r="AW37" s="94">
        <v>73.953489149871999</v>
      </c>
      <c r="AX37" s="94">
        <v>73.855302232421394</v>
      </c>
      <c r="AY37" s="94">
        <v>73.5446752909765</v>
      </c>
      <c r="AZ37" s="94">
        <v>72.538447852187204</v>
      </c>
      <c r="BA37" s="94">
        <v>72.256390478480299</v>
      </c>
      <c r="BB37" s="94">
        <v>71.768139281806199</v>
      </c>
      <c r="BC37" s="94">
        <v>71.345230934775998</v>
      </c>
      <c r="BD37" s="94">
        <v>71.155161163211702</v>
      </c>
      <c r="BE37" s="94">
        <v>70.570878745095101</v>
      </c>
      <c r="BF37" s="94">
        <v>70.213168279226593</v>
      </c>
      <c r="BG37" s="94">
        <v>70.1102821856405</v>
      </c>
      <c r="BH37" s="94">
        <v>69.446839964987703</v>
      </c>
      <c r="BI37" s="94">
        <v>69.919438408478896</v>
      </c>
      <c r="BJ37" s="94">
        <v>68.038125789152403</v>
      </c>
      <c r="BK37" s="95">
        <v>68.499442840415085</v>
      </c>
      <c r="BL37" s="94">
        <v>69.2760080080905</v>
      </c>
      <c r="BM37" s="94">
        <v>68.0584356584517</v>
      </c>
      <c r="BN37" s="94">
        <v>66.296330917765403</v>
      </c>
      <c r="BO37" s="94">
        <v>66.469865128501695</v>
      </c>
      <c r="BP37" s="94">
        <v>67.070432748117994</v>
      </c>
      <c r="BQ37" s="94">
        <v>67.255576371691106</v>
      </c>
      <c r="BR37" s="94">
        <v>70.043699884384907</v>
      </c>
      <c r="BS37" s="94">
        <v>70.653893640115598</v>
      </c>
      <c r="BT37" s="94">
        <v>70.563514011756098</v>
      </c>
      <c r="BU37" s="94">
        <v>69.209779967849201</v>
      </c>
      <c r="BV37" s="94">
        <v>67.4806497540593</v>
      </c>
      <c r="BW37" s="94">
        <v>67.520051704949694</v>
      </c>
      <c r="BX37" s="94">
        <v>67.511779889149693</v>
      </c>
      <c r="BY37" s="94">
        <v>67.143056969675101</v>
      </c>
      <c r="BZ37" s="94">
        <v>66.474395619441495</v>
      </c>
      <c r="CA37" s="94">
        <v>65.520949769420596</v>
      </c>
      <c r="CB37" s="94">
        <v>64.491315129269793</v>
      </c>
      <c r="CC37" s="94">
        <v>63.428737939743698</v>
      </c>
      <c r="CD37" s="94">
        <v>61.921584986184897</v>
      </c>
      <c r="CE37" s="94">
        <v>61.549097723030997</v>
      </c>
      <c r="CF37" s="94">
        <v>60.7914697474192</v>
      </c>
      <c r="CG37" s="94">
        <v>62.950260647499597</v>
      </c>
      <c r="CH37" s="94">
        <v>59.958046865374101</v>
      </c>
      <c r="CI37" s="94">
        <v>60.129972985530301</v>
      </c>
      <c r="CJ37" s="94">
        <v>61.03828030495</v>
      </c>
      <c r="CK37" s="94">
        <v>58.684967697361103</v>
      </c>
      <c r="CL37" s="94">
        <v>57.4846574490007</v>
      </c>
      <c r="CM37" s="94">
        <v>59.2286053227633</v>
      </c>
      <c r="CN37" s="94">
        <v>58.826344025292997</v>
      </c>
      <c r="CO37" s="94">
        <v>57.945996291955602</v>
      </c>
      <c r="CP37" s="94">
        <v>55.630027713985797</v>
      </c>
      <c r="CQ37" s="94">
        <v>56.4713391392361</v>
      </c>
      <c r="CR37" s="94">
        <v>55.510071005203301</v>
      </c>
      <c r="CS37" s="94">
        <v>55.086376386997799</v>
      </c>
      <c r="CT37" s="94">
        <v>52.762293005219298</v>
      </c>
      <c r="CU37" s="94">
        <v>52.798167031161299</v>
      </c>
      <c r="CV37" s="94">
        <v>51.894014637462497</v>
      </c>
      <c r="CW37" s="94">
        <v>51.34625883052</v>
      </c>
      <c r="CX37" s="94">
        <v>50.605836679078401</v>
      </c>
      <c r="CY37" s="94">
        <v>46.3907921591533</v>
      </c>
      <c r="CZ37" s="94">
        <v>46.171505445037397</v>
      </c>
      <c r="DA37" s="94">
        <v>45.618273150893799</v>
      </c>
      <c r="DB37" s="94">
        <v>45.471093962099197</v>
      </c>
      <c r="DC37" s="94">
        <v>45.758298663811097</v>
      </c>
      <c r="DD37" s="94">
        <v>44.704583398389602</v>
      </c>
      <c r="DE37" s="94">
        <v>8.4488426830605601</v>
      </c>
      <c r="DF37" s="94">
        <v>8.2116115372765606</v>
      </c>
      <c r="DG37" s="94">
        <v>7.8536823039758703</v>
      </c>
    </row>
    <row r="38" spans="1:111" s="40" customFormat="1" x14ac:dyDescent="0.3">
      <c r="A38" s="38" t="s">
        <v>15</v>
      </c>
      <c r="B38" s="92">
        <v>29.367562038807687</v>
      </c>
      <c r="C38" s="96">
        <v>60.821299959617591</v>
      </c>
      <c r="D38" s="92">
        <v>60.130364690311431</v>
      </c>
      <c r="E38" s="92">
        <v>60.13396146551635</v>
      </c>
      <c r="F38" s="92">
        <v>60.706979331164291</v>
      </c>
      <c r="G38" s="92">
        <v>58.827023639108042</v>
      </c>
      <c r="H38" s="92">
        <v>58.971808561365656</v>
      </c>
      <c r="I38" s="92">
        <v>57.955488162804173</v>
      </c>
      <c r="J38" s="97">
        <v>58.244150050552669</v>
      </c>
      <c r="K38" s="94">
        <v>56.468175451413181</v>
      </c>
      <c r="L38" s="97">
        <v>56.220307893592292</v>
      </c>
      <c r="M38" s="92">
        <v>55.745765685801878</v>
      </c>
      <c r="N38" s="94">
        <v>58.982096399826098</v>
      </c>
      <c r="O38" s="94">
        <v>58.841709987144739</v>
      </c>
      <c r="P38" s="94">
        <v>60.594657813324083</v>
      </c>
      <c r="Q38" s="94">
        <v>60.304603791974024</v>
      </c>
      <c r="R38" s="37">
        <v>60.138605854426018</v>
      </c>
      <c r="S38" s="37">
        <v>59.105840891273111</v>
      </c>
      <c r="T38" s="37">
        <v>59.093636363803995</v>
      </c>
      <c r="U38" s="37">
        <v>58.570005439108598</v>
      </c>
      <c r="V38" s="94">
        <v>57.424300591263808</v>
      </c>
      <c r="W38" s="94">
        <v>56.022314903244258</v>
      </c>
      <c r="X38" s="94">
        <v>55.411662304012744</v>
      </c>
      <c r="Y38" s="94">
        <v>54.961526198123515</v>
      </c>
      <c r="Z38" s="94">
        <v>54.540466809459886</v>
      </c>
      <c r="AA38" s="94">
        <v>50.965704764172195</v>
      </c>
      <c r="AB38" s="94">
        <v>50.59259587261441</v>
      </c>
      <c r="AC38" s="94">
        <v>52.092635024712266</v>
      </c>
      <c r="AD38" s="94">
        <v>52.133612570285138</v>
      </c>
      <c r="AE38" s="94">
        <v>51.172628700371163</v>
      </c>
      <c r="AF38" s="94">
        <v>50.761721916792908</v>
      </c>
      <c r="AG38" s="94">
        <v>48.988607966702475</v>
      </c>
      <c r="AH38" s="94">
        <v>48.419586913650065</v>
      </c>
      <c r="AI38" s="94">
        <v>48.459921810155642</v>
      </c>
      <c r="AJ38" s="94">
        <v>48.860247634131298</v>
      </c>
      <c r="AK38" s="94">
        <v>49.330621410658075</v>
      </c>
      <c r="AL38" s="94">
        <v>49.942092814376963</v>
      </c>
      <c r="AM38" s="94">
        <v>49.940172455556187</v>
      </c>
      <c r="AN38" s="94">
        <v>51.729845711243122</v>
      </c>
      <c r="AO38" s="94">
        <v>51.624329031319974</v>
      </c>
      <c r="AP38" s="94">
        <v>51.05429170884657</v>
      </c>
      <c r="AQ38" s="94">
        <v>46.640951702496281</v>
      </c>
      <c r="AR38" s="94">
        <v>47.248732576033113</v>
      </c>
      <c r="AS38" s="94">
        <v>47.56395077669972</v>
      </c>
      <c r="AT38" s="94">
        <v>43.544588450238209</v>
      </c>
      <c r="AU38" s="94">
        <v>42.942631288144099</v>
      </c>
      <c r="AV38" s="94">
        <v>44.091490117024151</v>
      </c>
      <c r="AW38" s="94">
        <v>43.692230839333973</v>
      </c>
      <c r="AX38" s="94">
        <v>43.690494159071449</v>
      </c>
      <c r="AY38" s="94">
        <v>42.940747984532329</v>
      </c>
      <c r="AZ38" s="94">
        <v>43.088813596626814</v>
      </c>
      <c r="BA38" s="94">
        <v>43.757392585566031</v>
      </c>
      <c r="BB38" s="94">
        <v>40.596487963008371</v>
      </c>
      <c r="BC38" s="94">
        <v>40.311280708521139</v>
      </c>
      <c r="BD38" s="94">
        <v>38.639384408669486</v>
      </c>
      <c r="BE38" s="94">
        <v>36.59459580299972</v>
      </c>
      <c r="BF38" s="94">
        <v>34.003698489968848</v>
      </c>
      <c r="BG38" s="94">
        <v>33.775360653579554</v>
      </c>
      <c r="BH38" s="94">
        <v>30.268808078190656</v>
      </c>
      <c r="BI38" s="94">
        <v>27.414933206581228</v>
      </c>
      <c r="BJ38" s="94">
        <v>27.105167424967615</v>
      </c>
      <c r="BK38" s="95">
        <v>27.6104996941122</v>
      </c>
      <c r="BL38" s="94">
        <v>27.011912659249067</v>
      </c>
      <c r="BM38" s="94">
        <v>27.044239382106166</v>
      </c>
      <c r="BN38" s="94">
        <v>27.557308987307358</v>
      </c>
      <c r="BO38" s="94">
        <v>30.440471318993147</v>
      </c>
      <c r="BP38" s="94">
        <v>29.536535092014269</v>
      </c>
      <c r="BQ38" s="94">
        <v>30.800426883675883</v>
      </c>
      <c r="BR38" s="94">
        <v>32.346843893539493</v>
      </c>
      <c r="BS38" s="94">
        <v>35.853245875564291</v>
      </c>
      <c r="BT38" s="94">
        <v>37.629581590730815</v>
      </c>
      <c r="BU38" s="94">
        <v>41.130895051624982</v>
      </c>
      <c r="BV38" s="94">
        <v>40.417923402620424</v>
      </c>
      <c r="BW38" s="94">
        <v>40.852361021665992</v>
      </c>
      <c r="BX38" s="94">
        <v>41.446498986843153</v>
      </c>
      <c r="BY38" s="94">
        <v>42.502452522919199</v>
      </c>
      <c r="BZ38" s="94">
        <v>41.708685779669764</v>
      </c>
      <c r="CA38" s="94">
        <v>42.012310170270219</v>
      </c>
      <c r="CB38" s="94">
        <v>42.293353904494701</v>
      </c>
      <c r="CC38" s="94">
        <v>41.938953483078883</v>
      </c>
      <c r="CD38" s="94">
        <v>41.85009618553795</v>
      </c>
      <c r="CE38" s="94">
        <v>41.474726607934265</v>
      </c>
      <c r="CF38" s="94">
        <v>40.316435123307222</v>
      </c>
      <c r="CG38" s="94">
        <v>42.392416240487783</v>
      </c>
      <c r="CH38" s="94">
        <v>41.726266716275369</v>
      </c>
      <c r="CI38" s="94">
        <v>41.575379139635096</v>
      </c>
      <c r="CJ38" s="94">
        <v>41.185501866657781</v>
      </c>
      <c r="CK38" s="94">
        <v>41.021882996819258</v>
      </c>
      <c r="CL38" s="94">
        <v>40.878738302681256</v>
      </c>
      <c r="CM38" s="94">
        <v>40.056897079753654</v>
      </c>
      <c r="CN38" s="94">
        <v>39.492403736580783</v>
      </c>
      <c r="CO38" s="94">
        <v>38.114432421552401</v>
      </c>
      <c r="CP38" s="94">
        <v>37.59852981705896</v>
      </c>
      <c r="CQ38" s="94">
        <v>37.634640498010533</v>
      </c>
      <c r="CR38" s="94">
        <v>36.37351686301308</v>
      </c>
      <c r="CS38" s="94">
        <v>34.828608814925694</v>
      </c>
      <c r="CT38" s="94">
        <v>36.177447295096556</v>
      </c>
      <c r="CU38" s="94">
        <v>36.140185476833913</v>
      </c>
      <c r="CV38" s="94">
        <v>33.725465936307863</v>
      </c>
      <c r="CW38" s="94">
        <v>33.723095284412402</v>
      </c>
      <c r="CX38" s="94">
        <v>33.390850316723707</v>
      </c>
      <c r="CY38" s="94">
        <v>32.728745372671995</v>
      </c>
      <c r="CZ38" s="94">
        <v>31.634444972625609</v>
      </c>
      <c r="DA38" s="94">
        <v>30.823846270831734</v>
      </c>
      <c r="DB38" s="94">
        <v>30.283969286435227</v>
      </c>
      <c r="DC38" s="94">
        <v>29.427132712038738</v>
      </c>
      <c r="DD38" s="94">
        <v>28.812415793978616</v>
      </c>
      <c r="DE38" s="94">
        <v>25.071253743954621</v>
      </c>
      <c r="DF38" s="94">
        <v>25.083683860284548</v>
      </c>
      <c r="DG38" s="94">
        <v>23.806647985147968</v>
      </c>
    </row>
    <row r="39" spans="1:111" s="40" customFormat="1" x14ac:dyDescent="0.3">
      <c r="A39" s="38" t="s">
        <v>16</v>
      </c>
      <c r="B39" s="92">
        <v>49.663931862086542</v>
      </c>
      <c r="C39" s="96">
        <v>49.843059774934773</v>
      </c>
      <c r="D39" s="92">
        <v>47.56948544249267</v>
      </c>
      <c r="E39" s="92">
        <v>47.041056640790437</v>
      </c>
      <c r="F39" s="92">
        <v>47.922456475718043</v>
      </c>
      <c r="G39" s="92">
        <v>47.966945534509705</v>
      </c>
      <c r="H39" s="92">
        <v>48.72822324043409</v>
      </c>
      <c r="I39" s="92">
        <v>47.0590030855329</v>
      </c>
      <c r="J39" s="97">
        <v>45.981939145973897</v>
      </c>
      <c r="K39" s="94">
        <v>45.2976891990334</v>
      </c>
      <c r="L39" s="97">
        <v>43.420954767383499</v>
      </c>
      <c r="M39" s="92">
        <v>41.011115908409501</v>
      </c>
      <c r="N39" s="37">
        <v>44.694775293253699</v>
      </c>
      <c r="O39" s="37">
        <v>43.924726397715197</v>
      </c>
      <c r="P39" s="37">
        <v>43.453411913371397</v>
      </c>
      <c r="Q39" s="94">
        <v>42.937639459719698</v>
      </c>
      <c r="R39" s="94">
        <v>42.8302817128749</v>
      </c>
      <c r="S39" s="94">
        <v>42.5395522984713</v>
      </c>
      <c r="T39" s="94">
        <v>41.754439135504199</v>
      </c>
      <c r="U39" s="94">
        <v>42.475814496296202</v>
      </c>
      <c r="V39" s="94">
        <v>41.730160328401197</v>
      </c>
      <c r="W39" s="94">
        <v>41.331127920570403</v>
      </c>
      <c r="X39" s="94">
        <v>38.680352609546503</v>
      </c>
      <c r="Y39" s="94">
        <v>38.502959886394201</v>
      </c>
      <c r="Z39" s="94">
        <v>39.796309809592501</v>
      </c>
      <c r="AA39" s="94">
        <v>39.646453365998902</v>
      </c>
      <c r="AB39" s="94">
        <v>39.180079857639299</v>
      </c>
      <c r="AC39" s="94">
        <v>37.3974612924249</v>
      </c>
      <c r="AD39" s="94">
        <v>37.397446580932602</v>
      </c>
      <c r="AE39" s="94">
        <v>36.8564006780231</v>
      </c>
      <c r="AF39" s="94">
        <v>36.025212722428101</v>
      </c>
      <c r="AG39" s="94">
        <v>35.2704441051619</v>
      </c>
      <c r="AH39" s="94">
        <v>34.090216083770201</v>
      </c>
      <c r="AI39" s="94">
        <v>34.534074694517798</v>
      </c>
      <c r="AJ39" s="94">
        <v>34.144934509143901</v>
      </c>
      <c r="AK39" s="94">
        <v>32.5095517810161</v>
      </c>
      <c r="AL39" s="94">
        <v>33.862440220973099</v>
      </c>
      <c r="AM39" s="94">
        <v>33.166053336488098</v>
      </c>
      <c r="AN39" s="94">
        <v>33.270021922994097</v>
      </c>
      <c r="AO39" s="94">
        <v>33.488257163150998</v>
      </c>
      <c r="AP39" s="94">
        <v>34.246591462609601</v>
      </c>
      <c r="AQ39" s="94">
        <v>34.812740059963502</v>
      </c>
      <c r="AR39" s="94">
        <v>33.953482164128701</v>
      </c>
      <c r="AS39" s="94">
        <v>33.986722974907003</v>
      </c>
      <c r="AT39" s="94">
        <v>30.669971731714099</v>
      </c>
      <c r="AU39" s="94">
        <v>29.905285173079701</v>
      </c>
      <c r="AV39" s="94">
        <v>29.050773790743701</v>
      </c>
      <c r="AW39" s="94">
        <v>27.858563758317899</v>
      </c>
      <c r="AX39" s="94">
        <v>27.961865715680901</v>
      </c>
      <c r="AY39" s="94">
        <v>27.4516423158599</v>
      </c>
      <c r="AZ39" s="94">
        <v>27.279824643379801</v>
      </c>
      <c r="BA39" s="94">
        <v>26.520046322057201</v>
      </c>
      <c r="BB39" s="94">
        <v>25.065697397977999</v>
      </c>
      <c r="BC39" s="94">
        <v>24.245186075127901</v>
      </c>
      <c r="BD39" s="94">
        <v>23.6482589884241</v>
      </c>
      <c r="BE39" s="94">
        <v>22.2765308837498</v>
      </c>
      <c r="BF39" s="94">
        <v>20.505423533275099</v>
      </c>
      <c r="BG39" s="94">
        <v>19.700473901378999</v>
      </c>
      <c r="BH39" s="94">
        <v>17.8670784584967</v>
      </c>
      <c r="BI39" s="94">
        <v>17.815151929200098</v>
      </c>
      <c r="BJ39" s="94">
        <v>17.8193987140377</v>
      </c>
      <c r="BK39" s="95">
        <v>6.7543655007620345</v>
      </c>
      <c r="BL39" s="94">
        <v>6.4482794927762797</v>
      </c>
      <c r="BM39" s="94">
        <v>6.9823827134253902</v>
      </c>
      <c r="BN39" s="94">
        <v>7.3939182862854302</v>
      </c>
      <c r="BO39" s="94">
        <v>10.0702009376162</v>
      </c>
      <c r="BP39" s="94">
        <v>11.8135282201211</v>
      </c>
      <c r="BQ39" s="94">
        <v>12.598091025829699</v>
      </c>
      <c r="BR39" s="94">
        <v>15.253828075991199</v>
      </c>
      <c r="BS39" s="94">
        <v>16.733159176484101</v>
      </c>
      <c r="BT39" s="94">
        <v>17.6957290517697</v>
      </c>
      <c r="BU39" s="94">
        <v>18.906377139835801</v>
      </c>
      <c r="BV39" s="94">
        <v>20.461553966634099</v>
      </c>
      <c r="BW39" s="94">
        <v>20.505402974696299</v>
      </c>
      <c r="BX39" s="94">
        <v>21.4593045594399</v>
      </c>
      <c r="BY39" s="94">
        <v>21.794741082574198</v>
      </c>
      <c r="BZ39" s="94">
        <v>22.1669272402332</v>
      </c>
      <c r="CA39" s="94">
        <v>22.302456713378</v>
      </c>
      <c r="CB39" s="94">
        <v>17.647954815482102</v>
      </c>
      <c r="CC39" s="94">
        <v>16.6582553487283</v>
      </c>
      <c r="CD39" s="94">
        <v>16.246199266481302</v>
      </c>
      <c r="CE39" s="94">
        <v>16.4898141130212</v>
      </c>
      <c r="CF39" s="94">
        <v>16.708189672806</v>
      </c>
      <c r="CG39" s="94">
        <v>15.8615493174609</v>
      </c>
      <c r="CH39" s="94">
        <v>16.001255065475402</v>
      </c>
      <c r="CI39" s="94">
        <v>15.5991073026713</v>
      </c>
      <c r="CJ39" s="94">
        <v>15.341673016884</v>
      </c>
      <c r="CK39" s="94">
        <v>15.0435773351098</v>
      </c>
      <c r="CL39" s="94">
        <v>14.5703426001194</v>
      </c>
      <c r="CM39" s="94">
        <v>13.726558440985301</v>
      </c>
      <c r="CN39" s="94">
        <v>13.2251959944451</v>
      </c>
      <c r="CO39" s="94">
        <v>13.0981388990777</v>
      </c>
      <c r="CP39" s="94">
        <v>12.6736137469774</v>
      </c>
      <c r="CQ39" s="94">
        <v>12.3754177594626</v>
      </c>
      <c r="CR39" s="94">
        <v>11.6486087789044</v>
      </c>
      <c r="CS39" s="94">
        <v>10.8934847750127</v>
      </c>
      <c r="CT39" s="94">
        <v>10.9244430298089</v>
      </c>
      <c r="CU39" s="94">
        <v>10.624624719094401</v>
      </c>
      <c r="CV39" s="94">
        <v>10.1976282921735</v>
      </c>
      <c r="CW39" s="94">
        <v>9.9963132847724996</v>
      </c>
      <c r="CX39" s="94">
        <v>9.7969657576393203</v>
      </c>
      <c r="CY39" s="94">
        <v>9.4899543953209395</v>
      </c>
      <c r="CZ39" s="94">
        <v>8.2275000058168697</v>
      </c>
      <c r="DA39" s="94">
        <v>7.5456389620030198</v>
      </c>
      <c r="DB39" s="94">
        <v>7.4545105885662197</v>
      </c>
      <c r="DC39" s="94">
        <v>7.1309072398494298</v>
      </c>
      <c r="DD39" s="94">
        <v>6.7104993934331398</v>
      </c>
      <c r="DE39" s="94">
        <v>6.4603266998732103</v>
      </c>
      <c r="DF39" s="94">
        <v>6.5363240476866302</v>
      </c>
      <c r="DG39" s="94">
        <v>6.4088438993568602</v>
      </c>
    </row>
    <row r="40" spans="1:111" s="40" customFormat="1" x14ac:dyDescent="0.3">
      <c r="A40" s="38" t="s">
        <v>17</v>
      </c>
      <c r="B40" s="92">
        <v>23.747612030194684</v>
      </c>
      <c r="C40" s="96">
        <v>23.404071941057079</v>
      </c>
      <c r="D40" s="92">
        <v>23.309634097911456</v>
      </c>
      <c r="E40" s="92">
        <v>23.006102396202618</v>
      </c>
      <c r="F40" s="92">
        <v>23.862374416618344</v>
      </c>
      <c r="G40" s="92">
        <v>24.705058779848095</v>
      </c>
      <c r="H40" s="92">
        <v>25.615616385669327</v>
      </c>
      <c r="I40" s="92">
        <v>25.553533608657752</v>
      </c>
      <c r="J40" s="97">
        <v>25.098380450861701</v>
      </c>
      <c r="K40" s="94">
        <v>24.563423812437399</v>
      </c>
      <c r="L40" s="97">
        <v>24.2116844384642</v>
      </c>
      <c r="M40" s="92">
        <v>24.083034455803102</v>
      </c>
      <c r="N40" s="94">
        <v>25.874843685866601</v>
      </c>
      <c r="O40" s="97">
        <v>24.831940488727302</v>
      </c>
      <c r="P40" s="97">
        <v>24.796349988548901</v>
      </c>
      <c r="Q40" s="94">
        <v>24.794904260573499</v>
      </c>
      <c r="R40" s="37">
        <v>25.0521764957074</v>
      </c>
      <c r="S40" s="37">
        <v>24.089051917802099</v>
      </c>
      <c r="T40" s="37">
        <v>24.5984637043154</v>
      </c>
      <c r="U40" s="37">
        <v>25.379101055768501</v>
      </c>
      <c r="V40" s="37">
        <v>24.7166009470203</v>
      </c>
      <c r="W40" s="37">
        <v>24.085565362024099</v>
      </c>
      <c r="X40" s="37">
        <v>24.077390838459301</v>
      </c>
      <c r="Y40" s="37">
        <v>23.013626203474701</v>
      </c>
      <c r="Z40" s="37">
        <v>23.345954795888598</v>
      </c>
      <c r="AA40" s="37">
        <v>23.0922572753765</v>
      </c>
      <c r="AB40" s="37">
        <v>21.7483236542271</v>
      </c>
      <c r="AC40" s="37">
        <v>21.5692440495692</v>
      </c>
      <c r="AD40" s="37">
        <v>21.6753238866186</v>
      </c>
      <c r="AE40" s="37">
        <v>21.3672593866936</v>
      </c>
      <c r="AF40" s="37">
        <v>20.2283057367592</v>
      </c>
      <c r="AG40" s="37">
        <v>20.083244448443399</v>
      </c>
      <c r="AH40" s="37">
        <v>20.152608058396702</v>
      </c>
      <c r="AI40" s="37">
        <v>20.126068392737999</v>
      </c>
      <c r="AJ40" s="37">
        <v>20.162808929922701</v>
      </c>
      <c r="AK40" s="37">
        <v>18.573982044811</v>
      </c>
      <c r="AL40" s="37">
        <v>18.921912542022099</v>
      </c>
      <c r="AM40" s="37">
        <v>18.6193027467204</v>
      </c>
      <c r="AN40" s="37">
        <v>18.592984276132601</v>
      </c>
      <c r="AO40" s="37">
        <v>18.811239111054601</v>
      </c>
      <c r="AP40" s="37">
        <v>19.5685231250127</v>
      </c>
      <c r="AQ40" s="37">
        <v>18.939931278296299</v>
      </c>
      <c r="AR40" s="37">
        <v>18.7395333244055</v>
      </c>
      <c r="AS40" s="37">
        <v>18.521397198012</v>
      </c>
      <c r="AT40" s="37">
        <v>16.812861880229001</v>
      </c>
      <c r="AU40" s="37">
        <v>16.4352765126275</v>
      </c>
      <c r="AV40" s="37">
        <v>16.2831785676515</v>
      </c>
      <c r="AW40" s="37">
        <v>14.5593482169865</v>
      </c>
      <c r="AX40" s="37">
        <v>14.495737416224699</v>
      </c>
      <c r="AY40" s="37">
        <v>13.875364314199301</v>
      </c>
      <c r="AZ40" s="37">
        <v>13.174186304139701</v>
      </c>
      <c r="BA40" s="37">
        <v>13.0587098746614</v>
      </c>
      <c r="BB40" s="37">
        <v>12.426193404845099</v>
      </c>
      <c r="BC40" s="37">
        <v>11.9694193284021</v>
      </c>
      <c r="BD40" s="37">
        <v>11.370532247558</v>
      </c>
      <c r="BE40" s="37">
        <v>11.002121467358499</v>
      </c>
      <c r="BF40" s="37">
        <v>10.456506764293</v>
      </c>
      <c r="BG40" s="37">
        <v>10.0131198305365</v>
      </c>
      <c r="BH40" s="37">
        <v>9.5917651293701898</v>
      </c>
      <c r="BI40" s="37">
        <v>9.4285683542634295</v>
      </c>
      <c r="BJ40" s="37">
        <v>9.4927625864385607</v>
      </c>
      <c r="BK40" s="95">
        <v>9.4314684408494447</v>
      </c>
      <c r="BL40" s="37">
        <v>11.270299225240301</v>
      </c>
      <c r="BM40" s="37">
        <v>11.7792154369155</v>
      </c>
      <c r="BN40" s="37">
        <v>12.4252033352574</v>
      </c>
      <c r="BO40" s="37">
        <v>13.5609419556374</v>
      </c>
      <c r="BP40" s="37">
        <v>14.644948452670956</v>
      </c>
      <c r="BQ40" s="37">
        <v>14.9600646660032</v>
      </c>
      <c r="BR40" s="37">
        <v>19.264871879561898</v>
      </c>
      <c r="BS40" s="37">
        <v>20.5549982087567</v>
      </c>
      <c r="BT40" s="37">
        <v>22.033749652243198</v>
      </c>
      <c r="BU40" s="37">
        <v>23.6037467799284</v>
      </c>
      <c r="BV40" s="37">
        <v>23.753544000439302</v>
      </c>
      <c r="BW40" s="37">
        <v>23.722369717993899</v>
      </c>
      <c r="BX40" s="37">
        <v>22.4737894412924</v>
      </c>
      <c r="BY40" s="37">
        <v>22.443593379878301</v>
      </c>
      <c r="BZ40" s="37">
        <v>22.205755956356398</v>
      </c>
      <c r="CA40" s="37">
        <v>21.040744895893599</v>
      </c>
      <c r="CB40" s="37">
        <v>21.164308230749999</v>
      </c>
      <c r="CC40" s="37">
        <v>20.150750208572866</v>
      </c>
      <c r="CD40" s="37">
        <v>18.9831466220243</v>
      </c>
      <c r="CE40" s="37">
        <v>19.057406474534801</v>
      </c>
      <c r="CF40" s="37">
        <v>18.489980767475799</v>
      </c>
      <c r="CG40" s="37">
        <v>16.000326070618101</v>
      </c>
      <c r="CH40" s="37">
        <v>15.868828135379101</v>
      </c>
      <c r="CI40" s="37">
        <v>15.902759725099401</v>
      </c>
      <c r="CJ40" s="37">
        <v>14.6409017080535</v>
      </c>
      <c r="CK40" s="37">
        <v>14.5749555836528</v>
      </c>
      <c r="CL40" s="37">
        <v>14.027766039227</v>
      </c>
      <c r="CM40" s="97">
        <v>13.626286421272001</v>
      </c>
      <c r="CN40" s="97">
        <v>12.966512019412299</v>
      </c>
      <c r="CO40" s="97">
        <v>13.019250124249901</v>
      </c>
      <c r="CP40" s="97">
        <v>12.789866904600901</v>
      </c>
      <c r="CQ40" s="97">
        <v>13.0941093365489</v>
      </c>
      <c r="CR40" s="97">
        <v>12.6978991177777</v>
      </c>
      <c r="CS40" s="97">
        <v>12.543227405217801</v>
      </c>
      <c r="CT40" s="97">
        <v>11.9327374669828</v>
      </c>
      <c r="CU40" s="97">
        <v>10.851003801059599</v>
      </c>
      <c r="CV40" s="97">
        <v>9.9689513371669296</v>
      </c>
      <c r="CW40" s="97">
        <v>10.0661928202934</v>
      </c>
      <c r="CX40" s="97">
        <v>9.8214865775989892</v>
      </c>
      <c r="CY40" s="97">
        <v>9.9386268828829305</v>
      </c>
      <c r="CZ40" s="97">
        <v>9.7773770723647697</v>
      </c>
      <c r="DA40" s="97">
        <v>9.6207146725040804</v>
      </c>
      <c r="DB40" s="97">
        <v>9.2559685379178394</v>
      </c>
      <c r="DC40" s="97">
        <v>8.9382074699197105</v>
      </c>
      <c r="DD40" s="97">
        <v>8.8946701058881992</v>
      </c>
      <c r="DE40" s="97">
        <v>8.3695633565177605</v>
      </c>
      <c r="DF40" s="97">
        <v>8.3848863695105909</v>
      </c>
      <c r="DG40" s="97">
        <v>8.0665679288549406</v>
      </c>
    </row>
    <row r="41" spans="1:111" s="40" customFormat="1" x14ac:dyDescent="0.3">
      <c r="A41" s="39" t="s">
        <v>18</v>
      </c>
      <c r="B41" s="44">
        <v>36.822001566703442</v>
      </c>
      <c r="C41" s="44">
        <v>33.57288599240966</v>
      </c>
      <c r="D41" s="44">
        <v>39.106931520231072</v>
      </c>
      <c r="E41" s="44">
        <v>92.20306841634158</v>
      </c>
      <c r="F41" s="44">
        <v>41.970072758571042</v>
      </c>
      <c r="G41" s="44">
        <v>54.69605533656545</v>
      </c>
      <c r="H41" s="44">
        <v>56.104035015581708</v>
      </c>
      <c r="I41" s="44">
        <v>57.302231048905597</v>
      </c>
      <c r="J41" s="34">
        <v>58.678653030513892</v>
      </c>
      <c r="K41" s="44">
        <v>58.655291338033898</v>
      </c>
      <c r="L41" s="34">
        <v>58.439315144376998</v>
      </c>
      <c r="M41" s="44">
        <v>43.018974840538299</v>
      </c>
      <c r="N41" s="34">
        <v>42.772237634740002</v>
      </c>
      <c r="O41" s="34">
        <v>44.3756139165558</v>
      </c>
      <c r="P41" s="34">
        <v>55.576918786784297</v>
      </c>
      <c r="Q41" s="34">
        <v>58.471693716584603</v>
      </c>
      <c r="R41" s="34">
        <v>58.376488819148904</v>
      </c>
      <c r="S41" s="34">
        <v>69.299920196861393</v>
      </c>
      <c r="T41" s="34">
        <v>51.748599534333401</v>
      </c>
      <c r="U41" s="34">
        <v>52.3115899795975</v>
      </c>
      <c r="V41" s="34">
        <v>52.2249058674198</v>
      </c>
      <c r="W41" s="34">
        <v>91.581462654735503</v>
      </c>
      <c r="X41" s="34">
        <v>76.269356355964106</v>
      </c>
      <c r="Y41" s="34">
        <v>52.038060246587101</v>
      </c>
      <c r="Z41" s="34">
        <v>52.068607116760496</v>
      </c>
      <c r="AA41" s="34">
        <v>51.831740992217803</v>
      </c>
      <c r="AB41" s="34">
        <v>53.121365375228997</v>
      </c>
      <c r="AC41" s="34">
        <v>54.344137481922303</v>
      </c>
      <c r="AD41" s="34">
        <v>0</v>
      </c>
      <c r="AE41" s="34">
        <v>0</v>
      </c>
      <c r="AF41" s="34">
        <v>0</v>
      </c>
      <c r="AG41" s="34">
        <v>0</v>
      </c>
      <c r="AH41" s="34">
        <v>0</v>
      </c>
      <c r="AI41" s="34">
        <v>0</v>
      </c>
      <c r="AJ41" s="34">
        <v>0</v>
      </c>
      <c r="AK41" s="34">
        <v>0</v>
      </c>
      <c r="AL41" s="34">
        <v>0</v>
      </c>
      <c r="AM41" s="34">
        <v>0</v>
      </c>
      <c r="AN41" s="34">
        <v>0</v>
      </c>
      <c r="AO41" s="34">
        <v>0</v>
      </c>
      <c r="AP41" s="34">
        <v>0</v>
      </c>
      <c r="AQ41" s="34">
        <v>0</v>
      </c>
      <c r="AR41" s="34">
        <v>0</v>
      </c>
      <c r="AS41" s="34">
        <v>15.9483136343034</v>
      </c>
      <c r="AT41" s="34">
        <v>0</v>
      </c>
      <c r="AU41" s="34">
        <v>0</v>
      </c>
      <c r="AV41" s="34">
        <v>0</v>
      </c>
      <c r="AW41" s="34">
        <v>74.771315464238597</v>
      </c>
      <c r="AX41" s="34">
        <v>0</v>
      </c>
      <c r="AY41" s="34">
        <v>0</v>
      </c>
      <c r="AZ41" s="34">
        <v>0</v>
      </c>
      <c r="BA41" s="34">
        <v>0</v>
      </c>
      <c r="BB41" s="34">
        <v>0</v>
      </c>
      <c r="BC41" s="34">
        <v>0</v>
      </c>
      <c r="BD41" s="34">
        <v>0</v>
      </c>
      <c r="BE41" s="34">
        <v>99.422741083248198</v>
      </c>
      <c r="BF41" s="34">
        <v>0</v>
      </c>
      <c r="BG41" s="34">
        <v>0</v>
      </c>
      <c r="BH41" s="34">
        <v>0</v>
      </c>
      <c r="BI41" s="34">
        <v>0</v>
      </c>
      <c r="BJ41" s="34">
        <v>0</v>
      </c>
      <c r="BK41" s="38">
        <v>0</v>
      </c>
      <c r="BL41" s="34">
        <v>0</v>
      </c>
      <c r="BM41" s="34">
        <v>0</v>
      </c>
      <c r="BN41" s="34">
        <v>0</v>
      </c>
      <c r="BO41" s="34">
        <v>24.239401604909201</v>
      </c>
      <c r="BP41" s="34">
        <v>0</v>
      </c>
      <c r="BQ41" s="34">
        <v>10.8529020265031</v>
      </c>
      <c r="BR41" s="34">
        <v>13.5135741222253</v>
      </c>
      <c r="BS41" s="34">
        <v>0</v>
      </c>
      <c r="BT41" s="34">
        <v>0</v>
      </c>
      <c r="BU41" s="34">
        <v>0</v>
      </c>
      <c r="BV41" s="34">
        <v>0</v>
      </c>
      <c r="BW41" s="34">
        <v>0</v>
      </c>
      <c r="BX41" s="34">
        <v>0</v>
      </c>
      <c r="BY41" s="34">
        <v>0</v>
      </c>
      <c r="BZ41" s="34">
        <v>0</v>
      </c>
      <c r="CA41" s="34">
        <v>0</v>
      </c>
      <c r="CB41" s="34">
        <v>0</v>
      </c>
      <c r="CC41" s="34">
        <v>0</v>
      </c>
      <c r="CD41" s="34">
        <v>0</v>
      </c>
      <c r="CE41" s="34">
        <v>0</v>
      </c>
      <c r="CF41" s="34">
        <v>0</v>
      </c>
      <c r="CG41" s="34">
        <v>0</v>
      </c>
      <c r="CH41" s="34">
        <v>0</v>
      </c>
      <c r="CI41" s="34">
        <v>0</v>
      </c>
      <c r="CJ41" s="34">
        <v>0</v>
      </c>
      <c r="CK41" s="34">
        <v>0</v>
      </c>
      <c r="CL41" s="34">
        <v>0</v>
      </c>
      <c r="CM41" s="34">
        <v>0</v>
      </c>
      <c r="CN41" s="34">
        <v>0</v>
      </c>
      <c r="CO41" s="34">
        <v>0</v>
      </c>
      <c r="CP41" s="34">
        <v>0</v>
      </c>
      <c r="CQ41" s="34">
        <v>0</v>
      </c>
      <c r="CR41" s="34">
        <v>0</v>
      </c>
      <c r="CS41" s="34">
        <v>67.205142074960406</v>
      </c>
      <c r="CT41" s="34">
        <v>0</v>
      </c>
      <c r="CU41" s="34">
        <v>0</v>
      </c>
      <c r="CV41" s="34">
        <v>0</v>
      </c>
      <c r="CW41" s="34">
        <v>0</v>
      </c>
      <c r="CX41" s="34">
        <v>0</v>
      </c>
      <c r="CY41" s="34">
        <v>0</v>
      </c>
      <c r="CZ41" s="34">
        <v>0</v>
      </c>
      <c r="DA41" s="34">
        <v>0</v>
      </c>
      <c r="DB41" s="34">
        <v>0</v>
      </c>
      <c r="DC41" s="34">
        <v>0</v>
      </c>
      <c r="DD41" s="34">
        <v>53.053919743836197</v>
      </c>
      <c r="DE41" s="34">
        <v>0</v>
      </c>
      <c r="DF41" s="34">
        <v>0</v>
      </c>
      <c r="DG41" s="34">
        <v>99.594172744094095</v>
      </c>
    </row>
    <row r="42" spans="1:111" s="98" customFormat="1" x14ac:dyDescent="0.3">
      <c r="A42" s="63" t="s">
        <v>21</v>
      </c>
      <c r="B42" s="20">
        <v>97</v>
      </c>
      <c r="C42" s="20">
        <v>96</v>
      </c>
      <c r="D42" s="20">
        <v>95</v>
      </c>
      <c r="E42" s="20">
        <v>93</v>
      </c>
      <c r="F42" s="20">
        <v>94</v>
      </c>
      <c r="G42" s="20">
        <v>93</v>
      </c>
      <c r="H42" s="20">
        <v>93</v>
      </c>
      <c r="I42" s="20">
        <v>92</v>
      </c>
      <c r="J42" s="20">
        <v>91</v>
      </c>
      <c r="K42" s="20">
        <v>91</v>
      </c>
      <c r="L42" s="20">
        <v>90</v>
      </c>
      <c r="M42" s="98">
        <v>84</v>
      </c>
      <c r="N42" s="98">
        <v>84</v>
      </c>
      <c r="O42" s="98">
        <v>84</v>
      </c>
      <c r="P42" s="98">
        <v>84</v>
      </c>
      <c r="Q42" s="98">
        <v>84</v>
      </c>
      <c r="R42" s="98">
        <v>84</v>
      </c>
      <c r="S42" s="98">
        <v>83</v>
      </c>
      <c r="T42" s="98">
        <v>83</v>
      </c>
      <c r="U42" s="98">
        <v>82</v>
      </c>
      <c r="V42" s="98">
        <v>82</v>
      </c>
      <c r="W42" s="98">
        <v>80</v>
      </c>
      <c r="X42" s="98">
        <v>79</v>
      </c>
      <c r="Y42" s="98">
        <v>78</v>
      </c>
      <c r="Z42" s="98">
        <v>78</v>
      </c>
      <c r="AA42" s="98">
        <v>78</v>
      </c>
      <c r="AB42" s="98">
        <v>78</v>
      </c>
      <c r="AC42" s="98">
        <v>78</v>
      </c>
      <c r="AD42" s="98">
        <v>76</v>
      </c>
      <c r="AE42" s="98">
        <v>76</v>
      </c>
      <c r="AF42" s="98">
        <v>76</v>
      </c>
      <c r="AG42" s="98">
        <v>76</v>
      </c>
      <c r="AH42" s="98">
        <v>76</v>
      </c>
      <c r="AI42" s="98">
        <v>75</v>
      </c>
      <c r="AJ42" s="98">
        <v>75</v>
      </c>
      <c r="AK42" s="98">
        <v>75</v>
      </c>
      <c r="AL42" s="98">
        <v>75</v>
      </c>
      <c r="AM42" s="98">
        <v>75</v>
      </c>
      <c r="AN42" s="98">
        <v>75</v>
      </c>
      <c r="AO42" s="98">
        <v>75</v>
      </c>
      <c r="AP42" s="98">
        <v>75</v>
      </c>
      <c r="AQ42" s="98">
        <v>75</v>
      </c>
      <c r="AR42" s="98">
        <v>75</v>
      </c>
      <c r="AS42" s="98">
        <v>75</v>
      </c>
      <c r="AT42" s="98">
        <v>74</v>
      </c>
      <c r="AU42" s="98">
        <v>74</v>
      </c>
      <c r="AV42" s="98">
        <v>74</v>
      </c>
      <c r="AW42" s="98">
        <v>74</v>
      </c>
      <c r="AX42" s="98">
        <v>73</v>
      </c>
      <c r="AY42" s="98">
        <v>73</v>
      </c>
      <c r="AZ42" s="98">
        <v>73</v>
      </c>
      <c r="BA42" s="98">
        <v>73</v>
      </c>
      <c r="BB42" s="98">
        <v>73</v>
      </c>
      <c r="BC42" s="98">
        <v>73</v>
      </c>
      <c r="BD42" s="98">
        <v>72</v>
      </c>
      <c r="BE42" s="98">
        <v>72</v>
      </c>
      <c r="BF42" s="98">
        <v>71</v>
      </c>
      <c r="BG42" s="98">
        <v>71</v>
      </c>
      <c r="BH42" s="98">
        <v>71</v>
      </c>
      <c r="BI42" s="98">
        <v>71</v>
      </c>
      <c r="BJ42" s="98">
        <v>71</v>
      </c>
      <c r="BK42" s="22">
        <v>69</v>
      </c>
      <c r="BL42" s="98">
        <v>69</v>
      </c>
      <c r="BM42" s="98">
        <v>69</v>
      </c>
      <c r="BN42" s="98">
        <v>69</v>
      </c>
      <c r="BO42" s="98">
        <v>69</v>
      </c>
      <c r="BP42" s="98">
        <v>68</v>
      </c>
      <c r="BQ42" s="98">
        <v>68</v>
      </c>
      <c r="BR42" s="98">
        <v>68</v>
      </c>
      <c r="BS42" s="98">
        <v>67</v>
      </c>
      <c r="BT42" s="98">
        <v>67</v>
      </c>
      <c r="BU42" s="98">
        <v>67</v>
      </c>
      <c r="BV42" s="98">
        <v>67</v>
      </c>
      <c r="BW42" s="98">
        <v>65</v>
      </c>
      <c r="BX42" s="98">
        <v>65</v>
      </c>
      <c r="BY42" s="98">
        <v>65</v>
      </c>
      <c r="BZ42" s="98">
        <v>65</v>
      </c>
      <c r="CA42" s="98">
        <v>65</v>
      </c>
      <c r="CB42" s="98">
        <v>64</v>
      </c>
      <c r="CC42" s="98">
        <v>64</v>
      </c>
      <c r="CD42" s="98">
        <v>63</v>
      </c>
      <c r="CE42" s="98">
        <v>63</v>
      </c>
      <c r="CF42" s="98">
        <v>63</v>
      </c>
      <c r="CG42" s="98">
        <v>63</v>
      </c>
      <c r="CH42" s="98">
        <v>63</v>
      </c>
      <c r="CI42" s="98">
        <v>63</v>
      </c>
      <c r="CJ42" s="98">
        <v>63</v>
      </c>
      <c r="CK42" s="98">
        <v>63</v>
      </c>
      <c r="CL42" s="98">
        <v>63</v>
      </c>
      <c r="CM42" s="20">
        <v>62</v>
      </c>
      <c r="CN42" s="20">
        <v>62</v>
      </c>
      <c r="CO42" s="20">
        <v>62</v>
      </c>
      <c r="CP42" s="20">
        <v>62</v>
      </c>
      <c r="CQ42" s="20">
        <v>62</v>
      </c>
      <c r="CR42" s="20">
        <v>62</v>
      </c>
      <c r="CS42" s="20">
        <v>62</v>
      </c>
      <c r="CT42" s="20">
        <v>61</v>
      </c>
      <c r="CU42" s="20">
        <v>61</v>
      </c>
      <c r="CV42" s="20">
        <v>60</v>
      </c>
      <c r="CW42" s="20">
        <v>60</v>
      </c>
      <c r="CX42" s="20">
        <v>60</v>
      </c>
      <c r="CY42" s="20">
        <v>60</v>
      </c>
      <c r="CZ42" s="20">
        <v>60</v>
      </c>
      <c r="DA42" s="20">
        <v>60</v>
      </c>
      <c r="DB42" s="20">
        <v>60</v>
      </c>
      <c r="DC42" s="20">
        <v>60</v>
      </c>
      <c r="DD42" s="20">
        <v>60</v>
      </c>
      <c r="DE42" s="20">
        <v>60</v>
      </c>
      <c r="DF42" s="20">
        <v>60</v>
      </c>
      <c r="DG42" s="20">
        <v>60</v>
      </c>
    </row>
    <row r="43" spans="1:111" x14ac:dyDescent="0.3">
      <c r="A43" s="99" t="s">
        <v>22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100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</row>
    <row r="44" spans="1:111" x14ac:dyDescent="0.3">
      <c r="A44" s="101" t="s">
        <v>23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102"/>
      <c r="AE44" s="102"/>
      <c r="AF44" s="102"/>
      <c r="AG44" s="102"/>
      <c r="AH44" s="102"/>
      <c r="AI44" s="102"/>
      <c r="AJ44" s="102"/>
      <c r="AK44" s="102"/>
      <c r="AL44" s="102"/>
      <c r="AM44" s="102"/>
      <c r="AN44" s="102"/>
      <c r="AO44" s="102"/>
      <c r="AP44" s="102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2"/>
      <c r="BB44" s="102"/>
      <c r="BC44" s="102"/>
      <c r="BD44" s="102"/>
      <c r="BE44" s="102"/>
      <c r="BF44" s="102"/>
      <c r="BG44" s="102"/>
      <c r="BH44" s="102"/>
      <c r="BI44" s="102"/>
      <c r="BJ44" s="102"/>
      <c r="BK44" s="103"/>
      <c r="BL44" s="102"/>
      <c r="BM44" s="102"/>
      <c r="BN44" s="102"/>
      <c r="BO44" s="102"/>
      <c r="BP44" s="102"/>
      <c r="BQ44" s="102"/>
      <c r="BR44" s="102"/>
      <c r="BS44" s="102"/>
      <c r="BT44" s="102"/>
      <c r="BU44" s="102"/>
      <c r="BV44" s="102"/>
      <c r="BW44" s="102"/>
      <c r="BX44" s="102"/>
      <c r="BY44" s="102"/>
      <c r="BZ44" s="102"/>
      <c r="CA44" s="102"/>
      <c r="CB44" s="102"/>
      <c r="CC44" s="102"/>
      <c r="CD44" s="102"/>
      <c r="CE44" s="102"/>
      <c r="CF44" s="102"/>
      <c r="CG44" s="102"/>
      <c r="CH44" s="102"/>
      <c r="CI44" s="102"/>
      <c r="CJ44" s="102"/>
      <c r="CK44" s="102"/>
      <c r="CL44" s="102"/>
      <c r="CM44" s="102"/>
      <c r="CN44" s="102"/>
      <c r="CO44" s="102"/>
      <c r="CP44" s="102"/>
      <c r="CQ44" s="102"/>
      <c r="CR44" s="102"/>
      <c r="CS44" s="102"/>
      <c r="CT44" s="102"/>
      <c r="CU44" s="102"/>
      <c r="CV44" s="102"/>
      <c r="CW44" s="102"/>
      <c r="CX44" s="102"/>
      <c r="CY44" s="102"/>
      <c r="CZ44" s="102"/>
      <c r="DA44" s="102"/>
      <c r="DB44" s="102"/>
      <c r="DC44" s="102"/>
      <c r="DD44" s="102"/>
      <c r="DE44" s="102"/>
      <c r="DF44" s="102"/>
      <c r="DG44" s="102"/>
    </row>
    <row r="45" spans="1:111" s="30" customFormat="1" ht="28.8" x14ac:dyDescent="0.3">
      <c r="A45" s="104" t="s">
        <v>24</v>
      </c>
      <c r="B45" s="105">
        <v>0.73629567000000007</v>
      </c>
      <c r="C45" s="105">
        <v>0.12897225000000001</v>
      </c>
      <c r="D45" s="105">
        <v>6.7417700000000002E-3</v>
      </c>
      <c r="E45" s="105">
        <v>7.7544799999999994E-3</v>
      </c>
      <c r="F45" s="105">
        <v>0.10537053</v>
      </c>
      <c r="G45" s="105">
        <v>0.10421716</v>
      </c>
      <c r="H45" s="105">
        <v>0.10155607000000001</v>
      </c>
      <c r="I45" s="105">
        <v>0.10440216000000001</v>
      </c>
      <c r="J45" s="19">
        <v>0.10440487</v>
      </c>
      <c r="K45" s="19">
        <v>0.10310886</v>
      </c>
      <c r="L45" s="19">
        <v>0.10351456000000001</v>
      </c>
      <c r="M45" s="106">
        <v>0.10650871000000001</v>
      </c>
      <c r="N45" s="106">
        <v>0.10422513</v>
      </c>
      <c r="O45" s="106">
        <v>0.10173078000000001</v>
      </c>
      <c r="P45" s="43">
        <v>0.10546426</v>
      </c>
      <c r="Q45" s="43">
        <v>0.10518089</v>
      </c>
      <c r="R45" s="43">
        <v>0.10310722</v>
      </c>
      <c r="S45" s="43">
        <v>0.10240848</v>
      </c>
      <c r="T45" s="43">
        <v>0.10707042</v>
      </c>
      <c r="U45" s="43">
        <v>0.10591186</v>
      </c>
      <c r="V45" s="43">
        <v>0.10228128</v>
      </c>
      <c r="W45" s="43">
        <v>1.4481400000000001E-3</v>
      </c>
      <c r="X45" s="43">
        <v>2.1525200000000002E-3</v>
      </c>
      <c r="Y45" s="43">
        <v>1.5222E-3</v>
      </c>
      <c r="Z45" s="43">
        <v>5.0875199999999999E-3</v>
      </c>
      <c r="AA45" s="43">
        <v>2.0647500000000002E-3</v>
      </c>
      <c r="AB45" s="43">
        <v>2.26867E-3</v>
      </c>
      <c r="AC45" s="43">
        <v>2.4133399999999999E-3</v>
      </c>
      <c r="AD45" s="43">
        <v>4.57589E-3</v>
      </c>
      <c r="AE45" s="43">
        <v>4.0821099999999999E-3</v>
      </c>
      <c r="AF45" s="43">
        <v>1.79649E-3</v>
      </c>
      <c r="AG45" s="43">
        <v>5.2322127199999997</v>
      </c>
      <c r="AH45" s="43">
        <v>8.4360000000000001E-4</v>
      </c>
      <c r="AI45" s="43">
        <v>2.405E-3</v>
      </c>
      <c r="AJ45" s="43">
        <v>2.3232599999999999E-2</v>
      </c>
      <c r="AK45" s="43">
        <v>2.6348699999999999E-2</v>
      </c>
      <c r="AL45" s="43">
        <v>2.6846100000000001E-2</v>
      </c>
      <c r="AM45" s="43">
        <v>2.8006199999999998E-2</v>
      </c>
      <c r="AN45" s="43">
        <v>0.02</v>
      </c>
      <c r="AO45" s="43">
        <v>0.02</v>
      </c>
      <c r="AP45" s="43">
        <v>2.026E-2</v>
      </c>
      <c r="AQ45" s="43">
        <v>2.5999999999999998E-4</v>
      </c>
      <c r="AR45" s="43">
        <v>0</v>
      </c>
      <c r="AS45" s="43">
        <v>0</v>
      </c>
      <c r="AT45" s="43">
        <v>0</v>
      </c>
      <c r="AU45" s="43">
        <v>0</v>
      </c>
      <c r="AV45" s="43">
        <v>0</v>
      </c>
      <c r="AW45" s="43">
        <v>0</v>
      </c>
      <c r="AX45" s="43">
        <v>0</v>
      </c>
      <c r="AY45" s="43">
        <v>0</v>
      </c>
      <c r="AZ45" s="43">
        <v>0.18629717000000001</v>
      </c>
      <c r="BA45" s="43">
        <v>0</v>
      </c>
      <c r="BB45" s="43">
        <v>0</v>
      </c>
      <c r="BC45" s="43">
        <v>0</v>
      </c>
      <c r="BD45" s="43">
        <v>0</v>
      </c>
      <c r="BE45" s="43">
        <v>0</v>
      </c>
      <c r="BF45" s="43">
        <v>0</v>
      </c>
      <c r="BG45" s="43">
        <v>0</v>
      </c>
      <c r="BH45" s="43">
        <v>0</v>
      </c>
      <c r="BI45" s="43">
        <v>0</v>
      </c>
      <c r="BJ45" s="43">
        <v>0</v>
      </c>
      <c r="BK45" s="106">
        <v>0</v>
      </c>
      <c r="BL45" s="43">
        <v>0</v>
      </c>
      <c r="BM45" s="43">
        <v>0</v>
      </c>
      <c r="BN45" s="43">
        <v>0</v>
      </c>
      <c r="BO45" s="43">
        <v>0</v>
      </c>
      <c r="BP45" s="43">
        <v>0</v>
      </c>
      <c r="BQ45" s="43">
        <v>0</v>
      </c>
      <c r="BR45" s="43">
        <v>0</v>
      </c>
      <c r="BS45" s="43">
        <v>0</v>
      </c>
      <c r="BT45" s="43">
        <v>0</v>
      </c>
      <c r="BU45" s="43">
        <v>0</v>
      </c>
      <c r="BV45" s="43">
        <v>0</v>
      </c>
      <c r="BW45" s="43">
        <v>0</v>
      </c>
      <c r="BX45" s="43">
        <v>0</v>
      </c>
      <c r="BY45" s="43">
        <v>0</v>
      </c>
      <c r="BZ45" s="43">
        <v>0</v>
      </c>
      <c r="CA45" s="43">
        <v>0</v>
      </c>
      <c r="CB45" s="43">
        <v>0</v>
      </c>
      <c r="CC45" s="43">
        <v>0</v>
      </c>
      <c r="CD45" s="43">
        <v>0</v>
      </c>
      <c r="CE45" s="43">
        <v>0</v>
      </c>
      <c r="CF45" s="43">
        <v>0</v>
      </c>
      <c r="CG45" s="43">
        <v>0</v>
      </c>
      <c r="CH45" s="43">
        <v>0</v>
      </c>
      <c r="CI45" s="43">
        <v>0</v>
      </c>
      <c r="CJ45" s="43">
        <v>0</v>
      </c>
      <c r="CK45" s="43">
        <v>0</v>
      </c>
      <c r="CL45" s="43">
        <v>0</v>
      </c>
      <c r="CM45" s="19">
        <v>0</v>
      </c>
      <c r="CN45" s="19">
        <v>0</v>
      </c>
      <c r="CO45" s="19">
        <v>0</v>
      </c>
      <c r="CP45" s="19">
        <v>4.24E-2</v>
      </c>
      <c r="CQ45" s="19">
        <v>0</v>
      </c>
      <c r="CR45" s="19">
        <v>0.1452</v>
      </c>
      <c r="CS45" s="19">
        <v>0.18759999999999999</v>
      </c>
      <c r="CT45" s="19">
        <v>0.18759999999999999</v>
      </c>
      <c r="CU45" s="19">
        <v>0.18759999999999999</v>
      </c>
      <c r="CV45" s="19">
        <v>0.1452</v>
      </c>
      <c r="CW45" s="19">
        <v>0.1452</v>
      </c>
      <c r="CX45" s="19">
        <v>0.18759999999999999</v>
      </c>
      <c r="CY45" s="19">
        <v>0.1452</v>
      </c>
      <c r="CZ45" s="19">
        <v>0.18759999999999999</v>
      </c>
      <c r="DA45" s="19">
        <v>0</v>
      </c>
      <c r="DB45" s="19">
        <v>0.1452</v>
      </c>
      <c r="DC45" s="19">
        <v>0.1452</v>
      </c>
      <c r="DD45" s="19">
        <v>0.1452</v>
      </c>
      <c r="DE45" s="19">
        <v>0.1452</v>
      </c>
      <c r="DF45" s="19">
        <v>0</v>
      </c>
      <c r="DG45" s="19">
        <v>0</v>
      </c>
    </row>
    <row r="46" spans="1:111" s="30" customFormat="1" ht="28.8" x14ac:dyDescent="0.3">
      <c r="A46" s="24" t="s">
        <v>25</v>
      </c>
      <c r="B46" s="25">
        <v>23060.495279569979</v>
      </c>
      <c r="C46" s="25">
        <v>25257.58781249003</v>
      </c>
      <c r="D46" s="25">
        <v>27092.124865499994</v>
      </c>
      <c r="E46" s="25">
        <v>27637.398111399998</v>
      </c>
      <c r="F46" s="25">
        <v>28325.910349869991</v>
      </c>
      <c r="G46" s="25">
        <v>27796.714917080022</v>
      </c>
      <c r="H46" s="25">
        <v>27270.654881669991</v>
      </c>
      <c r="I46" s="25">
        <v>27786.787924170018</v>
      </c>
      <c r="J46" s="19">
        <v>27271.449004980008</v>
      </c>
      <c r="K46" s="19">
        <v>28101.731897369998</v>
      </c>
      <c r="L46" s="19">
        <v>26142.222268760001</v>
      </c>
      <c r="M46" s="27">
        <v>20273.913401590002</v>
      </c>
      <c r="N46" s="42">
        <v>23884.85173115</v>
      </c>
      <c r="O46" s="42">
        <v>19371.909116350002</v>
      </c>
      <c r="P46" s="42">
        <v>22847.456522640001</v>
      </c>
      <c r="Q46" s="42">
        <v>22756.892673900002</v>
      </c>
      <c r="R46" s="42">
        <v>23089.047825130001</v>
      </c>
      <c r="S46" s="42">
        <v>23462.97510272</v>
      </c>
      <c r="T46" s="42">
        <v>23168.730340540002</v>
      </c>
      <c r="U46" s="42">
        <v>22741.40492316</v>
      </c>
      <c r="V46" s="42">
        <v>23352.0908122</v>
      </c>
      <c r="W46" s="42">
        <v>24564.601166920002</v>
      </c>
      <c r="X46" s="42">
        <v>24347.712494840001</v>
      </c>
      <c r="Y46" s="42">
        <v>21879.227394459998</v>
      </c>
      <c r="Z46" s="42">
        <v>21551.427909630002</v>
      </c>
      <c r="AA46" s="42">
        <v>20745.20411839</v>
      </c>
      <c r="AB46" s="42">
        <v>20455.86965832</v>
      </c>
      <c r="AC46" s="42">
        <v>20525.867574209999</v>
      </c>
      <c r="AD46" s="42">
        <v>20305.801457919999</v>
      </c>
      <c r="AE46" s="42">
        <v>19822.418291139998</v>
      </c>
      <c r="AF46" s="42">
        <v>19391.966992540001</v>
      </c>
      <c r="AG46" s="42">
        <v>19728.89790769</v>
      </c>
      <c r="AH46" s="42">
        <v>19583.653610040001</v>
      </c>
      <c r="AI46" s="42">
        <v>19018.910771769999</v>
      </c>
      <c r="AJ46" s="42">
        <v>18926.002868489999</v>
      </c>
      <c r="AK46" s="42">
        <v>18097.474827670001</v>
      </c>
      <c r="AL46" s="42">
        <v>17818.704447920001</v>
      </c>
      <c r="AM46" s="42">
        <v>17949.533597040001</v>
      </c>
      <c r="AN46" s="42">
        <v>17788.165967109999</v>
      </c>
      <c r="AO46" s="42">
        <v>18366.98656913</v>
      </c>
      <c r="AP46" s="42">
        <v>17437.72546514</v>
      </c>
      <c r="AQ46" s="42">
        <v>18179.016822019999</v>
      </c>
      <c r="AR46" s="42">
        <v>18661.503117880002</v>
      </c>
      <c r="AS46" s="42">
        <v>19224.427114530001</v>
      </c>
      <c r="AT46" s="42">
        <v>18474.167860239999</v>
      </c>
      <c r="AU46" s="42">
        <v>20477.905055539999</v>
      </c>
      <c r="AV46" s="42">
        <v>19241.909121010001</v>
      </c>
      <c r="AW46" s="42">
        <v>17941.755439410001</v>
      </c>
      <c r="AX46" s="42">
        <v>19423.20563248</v>
      </c>
      <c r="AY46" s="42">
        <v>18976.111851909998</v>
      </c>
      <c r="AZ46" s="42">
        <v>19814.156399570002</v>
      </c>
      <c r="BA46" s="42">
        <v>20751.862126870001</v>
      </c>
      <c r="BB46" s="42">
        <v>19777.810367850001</v>
      </c>
      <c r="BC46" s="42">
        <v>18497.278938039999</v>
      </c>
      <c r="BD46" s="42">
        <v>19049.12255833</v>
      </c>
      <c r="BE46" s="42">
        <v>19642.801374629998</v>
      </c>
      <c r="BF46" s="42">
        <v>18191.51861857</v>
      </c>
      <c r="BG46" s="42">
        <v>19555.789311569999</v>
      </c>
      <c r="BH46" s="42">
        <v>21578.00200751</v>
      </c>
      <c r="BI46" s="42">
        <v>18457.37678232</v>
      </c>
      <c r="BJ46" s="42">
        <v>21721.010216980001</v>
      </c>
      <c r="BK46" s="28">
        <v>23424.271418389995</v>
      </c>
      <c r="BL46" s="42">
        <v>17107.586168360001</v>
      </c>
      <c r="BM46" s="42">
        <v>18046.28889665</v>
      </c>
      <c r="BN46" s="42">
        <v>19582.401088409999</v>
      </c>
      <c r="BO46" s="42">
        <v>19259.22198953</v>
      </c>
      <c r="BP46" s="42">
        <v>20155.551908429999</v>
      </c>
      <c r="BQ46" s="42">
        <v>23613.366056579998</v>
      </c>
      <c r="BR46" s="42">
        <v>24755.753626680002</v>
      </c>
      <c r="BS46" s="42">
        <v>20103.406188640001</v>
      </c>
      <c r="BT46" s="42">
        <v>27800.778417410002</v>
      </c>
      <c r="BU46" s="42">
        <v>21331.013847300001</v>
      </c>
      <c r="BV46" s="42">
        <v>23695.655006289999</v>
      </c>
      <c r="BW46" s="42">
        <v>21631.401069669999</v>
      </c>
      <c r="BX46" s="42">
        <v>23186.864337859999</v>
      </c>
      <c r="BY46" s="42">
        <v>21311.890714820001</v>
      </c>
      <c r="BZ46" s="42">
        <v>26642.610501989999</v>
      </c>
      <c r="CA46" s="42">
        <v>22444.238163760001</v>
      </c>
      <c r="CB46" s="42">
        <v>20934.408528020002</v>
      </c>
      <c r="CC46" s="42">
        <v>22042.071788640002</v>
      </c>
      <c r="CD46" s="42">
        <v>23818.873047280002</v>
      </c>
      <c r="CE46" s="42">
        <v>21416.22774033</v>
      </c>
      <c r="CF46" s="42">
        <v>23847.414891159999</v>
      </c>
      <c r="CG46" s="42">
        <v>19977.549136320002</v>
      </c>
      <c r="CH46" s="42">
        <v>19666.131355810001</v>
      </c>
      <c r="CI46" s="42">
        <v>21388.056739489999</v>
      </c>
      <c r="CJ46" s="42">
        <v>21740.0952664</v>
      </c>
      <c r="CK46" s="42">
        <v>21308.321346060002</v>
      </c>
      <c r="CL46" s="42">
        <v>25311.620565699999</v>
      </c>
      <c r="CM46" s="46">
        <v>23086.55388988</v>
      </c>
      <c r="CN46" s="46">
        <v>23894.105563720001</v>
      </c>
      <c r="CO46" s="46">
        <v>22104.877370310001</v>
      </c>
      <c r="CP46" s="46">
        <v>23888.06310386</v>
      </c>
      <c r="CQ46" s="46">
        <v>22699.905856189998</v>
      </c>
      <c r="CR46" s="46">
        <v>24595.65333334</v>
      </c>
      <c r="CS46" s="46">
        <v>22293.098631410001</v>
      </c>
      <c r="CT46" s="46">
        <v>24662.381264240001</v>
      </c>
      <c r="CU46" s="46">
        <v>23909.160116269999</v>
      </c>
      <c r="CV46" s="46">
        <v>23247.4941335</v>
      </c>
      <c r="CW46" s="46">
        <v>29742.418845659999</v>
      </c>
      <c r="CX46" s="46">
        <v>24685.490532150001</v>
      </c>
      <c r="CY46" s="46">
        <v>21993.063047150001</v>
      </c>
      <c r="CZ46" s="46">
        <v>20872.43146525</v>
      </c>
      <c r="DA46" s="46">
        <v>26989.649008939999</v>
      </c>
      <c r="DB46" s="46">
        <v>22823.606644740001</v>
      </c>
      <c r="DC46" s="46">
        <v>28764.78611347</v>
      </c>
      <c r="DD46" s="46">
        <v>31069.95327279</v>
      </c>
      <c r="DE46" s="46">
        <v>22215.586218339999</v>
      </c>
      <c r="DF46" s="46">
        <v>28605.611600910001</v>
      </c>
      <c r="DG46" s="46">
        <v>27447.815029140002</v>
      </c>
    </row>
    <row r="47" spans="1:111" s="30" customFormat="1" x14ac:dyDescent="0.3">
      <c r="A47" s="31" t="s">
        <v>26</v>
      </c>
      <c r="B47" s="25">
        <v>9532.2673579000002</v>
      </c>
      <c r="C47" s="25">
        <v>10534.558855619993</v>
      </c>
      <c r="D47" s="25">
        <v>13677.005123699999</v>
      </c>
      <c r="E47" s="25">
        <v>13725.080171130003</v>
      </c>
      <c r="F47" s="25">
        <v>13990.317861800011</v>
      </c>
      <c r="G47" s="25">
        <v>14406.711866830005</v>
      </c>
      <c r="H47" s="25">
        <v>15148.357766219993</v>
      </c>
      <c r="I47" s="25">
        <v>15025.993254070005</v>
      </c>
      <c r="J47" s="25">
        <v>15213.626643089998</v>
      </c>
      <c r="K47" s="25">
        <v>15342.88310782</v>
      </c>
      <c r="L47" s="26">
        <v>15530.699481379999</v>
      </c>
      <c r="M47" s="29">
        <v>8627.2264350299993</v>
      </c>
      <c r="N47" s="28">
        <v>8662.4185920199998</v>
      </c>
      <c r="O47" s="27">
        <v>8703.2481739199993</v>
      </c>
      <c r="P47" s="27">
        <v>8742.7600259800001</v>
      </c>
      <c r="Q47" s="27">
        <v>8784.0371495700001</v>
      </c>
      <c r="R47" s="27">
        <v>8811.0654560399998</v>
      </c>
      <c r="S47" s="27">
        <v>8635.5635781700003</v>
      </c>
      <c r="T47" s="27">
        <v>8776.2130314799997</v>
      </c>
      <c r="U47" s="27">
        <v>9073.7591642000007</v>
      </c>
      <c r="V47" s="27">
        <v>9191.8820878400002</v>
      </c>
      <c r="W47" s="27">
        <v>9075.8852948799995</v>
      </c>
      <c r="X47" s="27">
        <v>8723.5553799499994</v>
      </c>
      <c r="Y47" s="27">
        <v>8898.1871194100004</v>
      </c>
      <c r="Z47" s="27">
        <v>9021.0774730100002</v>
      </c>
      <c r="AA47" s="27">
        <v>9172.58648034</v>
      </c>
      <c r="AB47" s="27">
        <v>9199.1955289599991</v>
      </c>
      <c r="AC47" s="27">
        <v>8749.2815793600003</v>
      </c>
      <c r="AD47" s="27">
        <v>8716.1029795699997</v>
      </c>
      <c r="AE47" s="27">
        <v>8831.2199640700001</v>
      </c>
      <c r="AF47" s="27">
        <v>8389.0954814199995</v>
      </c>
      <c r="AG47" s="27">
        <v>8384.1372358999997</v>
      </c>
      <c r="AH47" s="27">
        <v>8374.7076808799993</v>
      </c>
      <c r="AI47" s="27">
        <v>8276.4543680799998</v>
      </c>
      <c r="AJ47" s="27">
        <v>8315.0365749499997</v>
      </c>
      <c r="AK47" s="27">
        <v>7211.2534790899999</v>
      </c>
      <c r="AL47" s="27">
        <v>7033.4606017699998</v>
      </c>
      <c r="AM47" s="27">
        <v>7103.9799253499996</v>
      </c>
      <c r="AN47" s="27">
        <v>7141.1725638199996</v>
      </c>
      <c r="AO47" s="27">
        <v>6987.0786833100001</v>
      </c>
      <c r="AP47" s="27">
        <v>7154.8219900499998</v>
      </c>
      <c r="AQ47" s="27">
        <v>7106.6266298099999</v>
      </c>
      <c r="AR47" s="27">
        <v>7107.5114698999996</v>
      </c>
      <c r="AS47" s="27">
        <v>7033.1700086299998</v>
      </c>
      <c r="AT47" s="27">
        <v>7089.9806120699996</v>
      </c>
      <c r="AU47" s="27">
        <v>7009.8837048599999</v>
      </c>
      <c r="AV47" s="27">
        <v>7479.1256584800003</v>
      </c>
      <c r="AW47" s="27">
        <v>7127.6525654400002</v>
      </c>
      <c r="AX47" s="27">
        <v>7277.4327784999996</v>
      </c>
      <c r="AY47" s="27">
        <v>7196.4681345099998</v>
      </c>
      <c r="AZ47" s="27">
        <v>6987.0664050599999</v>
      </c>
      <c r="BA47" s="27">
        <v>7199.5975778800002</v>
      </c>
      <c r="BB47" s="27">
        <v>7295.0273282400003</v>
      </c>
      <c r="BC47" s="27">
        <v>6846.5174866999996</v>
      </c>
      <c r="BD47" s="27">
        <v>6828.1028215200004</v>
      </c>
      <c r="BE47" s="27">
        <v>6876.3459887299996</v>
      </c>
      <c r="BF47" s="27">
        <v>6809.8489798099999</v>
      </c>
      <c r="BG47" s="27">
        <v>6869.20989551</v>
      </c>
      <c r="BH47" s="27">
        <v>7084.6732524400004</v>
      </c>
      <c r="BI47" s="27">
        <v>5154.7952087200001</v>
      </c>
      <c r="BJ47" s="27">
        <v>5222.8560153600001</v>
      </c>
      <c r="BK47" s="29">
        <v>4621.0451127900051</v>
      </c>
      <c r="BL47" s="27">
        <v>4563.5801800600002</v>
      </c>
      <c r="BM47" s="27">
        <v>4563.4358412700003</v>
      </c>
      <c r="BN47" s="27">
        <v>4373.1750465200003</v>
      </c>
      <c r="BO47" s="27">
        <v>4481.3708459600002</v>
      </c>
      <c r="BP47" s="27">
        <v>4655.4175554800004</v>
      </c>
      <c r="BQ47" s="27">
        <v>4842.28338687</v>
      </c>
      <c r="BR47" s="25">
        <v>5548.3295519499998</v>
      </c>
      <c r="BS47" s="25">
        <v>5601.3578489299998</v>
      </c>
      <c r="BT47" s="25">
        <v>5702.9461940800002</v>
      </c>
      <c r="BU47" s="25">
        <v>6232.5491052999996</v>
      </c>
      <c r="BV47" s="25">
        <v>6233.6237638299999</v>
      </c>
      <c r="BW47" s="25">
        <v>6071.8432328099998</v>
      </c>
      <c r="BX47" s="25">
        <v>6662.0956539099998</v>
      </c>
      <c r="BY47" s="25">
        <v>6424.4061533599997</v>
      </c>
      <c r="BZ47" s="25">
        <v>6377.8877864400001</v>
      </c>
      <c r="CA47" s="25">
        <v>6808.68109207</v>
      </c>
      <c r="CB47" s="25">
        <v>6817.3521232599996</v>
      </c>
      <c r="CC47" s="25">
        <v>5478.4806636599997</v>
      </c>
      <c r="CD47" s="25">
        <v>5522.8067168400003</v>
      </c>
      <c r="CE47" s="25">
        <v>4731.5923198500004</v>
      </c>
      <c r="CF47" s="25">
        <v>4819.7994351799998</v>
      </c>
      <c r="CG47" s="25">
        <v>4873.7350257799999</v>
      </c>
      <c r="CH47" s="25">
        <v>4583.8533941200003</v>
      </c>
      <c r="CI47" s="25">
        <v>4655.09443835</v>
      </c>
      <c r="CJ47" s="25">
        <v>5552.6714904500004</v>
      </c>
      <c r="CK47" s="25">
        <v>5370.76912722</v>
      </c>
      <c r="CL47" s="25">
        <v>5053.2569292199996</v>
      </c>
      <c r="CM47" s="25">
        <v>5034.21000895</v>
      </c>
      <c r="CN47" s="25">
        <v>4541.2795406699997</v>
      </c>
      <c r="CO47" s="25">
        <v>5577.63795089</v>
      </c>
      <c r="CP47" s="25">
        <v>5007.72722875</v>
      </c>
      <c r="CQ47" s="25">
        <v>5215.4958362199995</v>
      </c>
      <c r="CR47" s="25">
        <v>5656.0505286099997</v>
      </c>
      <c r="CS47" s="25">
        <v>7248.3551873699998</v>
      </c>
      <c r="CT47" s="25">
        <v>6140.0234603199997</v>
      </c>
      <c r="CU47" s="25">
        <v>6062.7935397399997</v>
      </c>
      <c r="CV47" s="25">
        <v>7976.3249347000001</v>
      </c>
      <c r="CW47" s="25">
        <v>7489.1884639399996</v>
      </c>
      <c r="CX47" s="25">
        <v>6939.2560594300003</v>
      </c>
      <c r="CY47" s="25">
        <v>5778.1171289499998</v>
      </c>
      <c r="CZ47" s="25">
        <v>5455.1299486600001</v>
      </c>
      <c r="DA47" s="25">
        <v>5542.3402175000001</v>
      </c>
      <c r="DB47" s="25">
        <v>5590.4898059999996</v>
      </c>
      <c r="DC47" s="25">
        <v>5782.0882302399996</v>
      </c>
      <c r="DD47" s="25">
        <v>7190.6693453199996</v>
      </c>
      <c r="DE47" s="25">
        <v>5938.4205052999996</v>
      </c>
      <c r="DF47" s="25">
        <v>6106.2287420299999</v>
      </c>
      <c r="DG47" s="25">
        <v>5890.3336225399999</v>
      </c>
    </row>
    <row r="48" spans="1:111" s="113" customFormat="1" x14ac:dyDescent="0.3">
      <c r="A48" s="107" t="s">
        <v>27</v>
      </c>
      <c r="B48" s="108">
        <v>41.335917734364259</v>
      </c>
      <c r="C48" s="108">
        <v>41.708491459388654</v>
      </c>
      <c r="D48" s="108">
        <v>50.483323813100931</v>
      </c>
      <c r="E48" s="108">
        <v>49.661260136744275</v>
      </c>
      <c r="F48" s="108">
        <v>49.390532162946791</v>
      </c>
      <c r="G48" s="108">
        <v>51.828829089359871</v>
      </c>
      <c r="H48" s="108">
        <v>55.548199454505884</v>
      </c>
      <c r="I48" s="108">
        <v>54.076035326846174</v>
      </c>
      <c r="J48" s="108">
        <v>55.785912366856103</v>
      </c>
      <c r="K48" s="108">
        <v>54.597642465074998</v>
      </c>
      <c r="L48" s="109">
        <v>59.408489919922403</v>
      </c>
      <c r="M48" s="110">
        <v>42.553335728233897</v>
      </c>
      <c r="N48" s="111">
        <v>36.267416224831301</v>
      </c>
      <c r="O48" s="110">
        <v>44.927157781131697</v>
      </c>
      <c r="P48" s="110">
        <v>38.265791281040897</v>
      </c>
      <c r="Q48" s="110">
        <v>38.599457647591997</v>
      </c>
      <c r="R48" s="110">
        <v>38.161233511111199</v>
      </c>
      <c r="S48" s="110">
        <v>36.8050664519902</v>
      </c>
      <c r="T48" s="110">
        <v>37.879559658578401</v>
      </c>
      <c r="U48" s="110">
        <v>39.899730007266299</v>
      </c>
      <c r="V48" s="110">
        <v>39.362137470953201</v>
      </c>
      <c r="W48" s="110">
        <v>36.947008555962498</v>
      </c>
      <c r="X48" s="110">
        <v>35.829055324186101</v>
      </c>
      <c r="Y48" s="110">
        <v>40.669567343420397</v>
      </c>
      <c r="Z48" s="110">
        <v>41.858374817842297</v>
      </c>
      <c r="AA48" s="110">
        <v>44.215455427641601</v>
      </c>
      <c r="AB48" s="110">
        <v>44.970933441680501</v>
      </c>
      <c r="AC48" s="110">
        <v>42.625635909067</v>
      </c>
      <c r="AD48" s="110">
        <v>42.924200739539899</v>
      </c>
      <c r="AE48" s="110">
        <v>44.551677975725497</v>
      </c>
      <c r="AF48" s="110">
        <v>43.260673270778803</v>
      </c>
      <c r="AG48" s="110">
        <v>42.496733852690298</v>
      </c>
      <c r="AH48" s="110">
        <v>42.763765371067002</v>
      </c>
      <c r="AI48" s="110">
        <v>43.516973539645797</v>
      </c>
      <c r="AJ48" s="110">
        <v>43.934456909513301</v>
      </c>
      <c r="AK48" s="110">
        <v>39.846738551968599</v>
      </c>
      <c r="AL48" s="110">
        <v>39.472345603616702</v>
      </c>
      <c r="AM48" s="110">
        <v>39.5775181953558</v>
      </c>
      <c r="AN48" s="110">
        <v>40.145637144514502</v>
      </c>
      <c r="AO48" s="110">
        <v>38.0415080993929</v>
      </c>
      <c r="AP48" s="110">
        <v>41.030706695969599</v>
      </c>
      <c r="AQ48" s="110">
        <v>39.092469627960497</v>
      </c>
      <c r="AR48" s="110">
        <v>38.0864897377432</v>
      </c>
      <c r="AS48" s="110">
        <v>36.584549265003901</v>
      </c>
      <c r="AT48" s="110">
        <v>38.377807681010701</v>
      </c>
      <c r="AU48" s="110">
        <v>34.231449388244798</v>
      </c>
      <c r="AV48" s="110">
        <v>38.868937647739102</v>
      </c>
      <c r="AW48" s="110">
        <v>39.726617551500802</v>
      </c>
      <c r="AX48" s="110">
        <v>37.467722456330698</v>
      </c>
      <c r="AY48" s="110">
        <v>37.923828604465399</v>
      </c>
      <c r="AZ48" s="110">
        <v>35.263002189745698</v>
      </c>
      <c r="BA48" s="110">
        <v>34.693742344007703</v>
      </c>
      <c r="BB48" s="110">
        <v>36.884908857749501</v>
      </c>
      <c r="BC48" s="110">
        <v>37.013646761956998</v>
      </c>
      <c r="BD48" s="110">
        <v>35.844710435411301</v>
      </c>
      <c r="BE48" s="110">
        <v>35.006951694839501</v>
      </c>
      <c r="BF48" s="110">
        <v>37.434197345451203</v>
      </c>
      <c r="BG48" s="110">
        <v>35.126221632209401</v>
      </c>
      <c r="BH48" s="110">
        <v>32.832851021027103</v>
      </c>
      <c r="BI48" s="110">
        <v>27.928103053396502</v>
      </c>
      <c r="BJ48" s="110">
        <v>24.045180050037999</v>
      </c>
      <c r="BK48" s="112">
        <v>19.727593786170448</v>
      </c>
      <c r="BL48" s="110">
        <v>26.675769071969999</v>
      </c>
      <c r="BM48" s="110">
        <v>25.2873921469645</v>
      </c>
      <c r="BN48" s="110">
        <v>22.332169721047599</v>
      </c>
      <c r="BO48" s="110">
        <v>23.268701344198799</v>
      </c>
      <c r="BP48" s="110">
        <v>23.0974451934153</v>
      </c>
      <c r="BQ48" s="110">
        <v>20.506535896946701</v>
      </c>
      <c r="BR48" s="110">
        <v>22.412282961042202</v>
      </c>
      <c r="BS48" s="110">
        <v>27.862730307340701</v>
      </c>
      <c r="BT48" s="110">
        <v>20.5136205485116</v>
      </c>
      <c r="BU48" s="110">
        <v>29.218250711927102</v>
      </c>
      <c r="BV48" s="110">
        <v>26.307032923020198</v>
      </c>
      <c r="BW48" s="110">
        <v>28.0695790959352</v>
      </c>
      <c r="BX48" s="110">
        <v>28.7321974926639</v>
      </c>
      <c r="BY48" s="110">
        <v>30.144702970405898</v>
      </c>
      <c r="BZ48" s="110">
        <v>23.9386744251793</v>
      </c>
      <c r="CA48" s="110">
        <v>30.3359866456228</v>
      </c>
      <c r="CB48" s="110">
        <v>32.565296096783499</v>
      </c>
      <c r="CC48" s="110">
        <v>24.854653937219702</v>
      </c>
      <c r="CD48" s="110">
        <v>23.1866835424049</v>
      </c>
      <c r="CE48" s="110">
        <v>22.093490866926601</v>
      </c>
      <c r="CF48" s="110">
        <v>20.2109933390166</v>
      </c>
      <c r="CG48" s="110">
        <v>24.3960607606233</v>
      </c>
      <c r="CH48" s="110">
        <v>23.3083635575626</v>
      </c>
      <c r="CI48" s="110">
        <v>21.764924672913502</v>
      </c>
      <c r="CJ48" s="110">
        <v>25.5411552820186</v>
      </c>
      <c r="CK48" s="110">
        <v>25.205031593035699</v>
      </c>
      <c r="CL48" s="110">
        <v>19.9641777819146</v>
      </c>
      <c r="CM48" s="108">
        <v>21.805809706215001</v>
      </c>
      <c r="CN48" s="108">
        <v>19.005857024275201</v>
      </c>
      <c r="CO48" s="108">
        <v>25.2326120495993</v>
      </c>
      <c r="CP48" s="108">
        <v>20.9633037512397</v>
      </c>
      <c r="CQ48" s="108">
        <v>22.975847870302001</v>
      </c>
      <c r="CR48" s="108">
        <v>22.996138593899801</v>
      </c>
      <c r="CS48" s="108">
        <v>32.5138972702403</v>
      </c>
      <c r="CT48" s="108">
        <v>24.8963123006411</v>
      </c>
      <c r="CU48" s="108">
        <v>25.357618210998201</v>
      </c>
      <c r="CV48" s="108">
        <v>34.310471868045298</v>
      </c>
      <c r="CW48" s="108">
        <v>25.1801593636451</v>
      </c>
      <c r="CX48" s="108">
        <v>28.110667075432101</v>
      </c>
      <c r="CY48" s="108">
        <v>26.2724528937263</v>
      </c>
      <c r="CZ48" s="108">
        <v>26.1355748502138</v>
      </c>
      <c r="DA48" s="108">
        <v>20.535058516930601</v>
      </c>
      <c r="DB48" s="108">
        <v>24.494331211620299</v>
      </c>
      <c r="DC48" s="108">
        <v>20.101273158893299</v>
      </c>
      <c r="DD48" s="108">
        <v>23.143482972719301</v>
      </c>
      <c r="DE48" s="108">
        <v>26.7308746523086</v>
      </c>
      <c r="DF48" s="108">
        <v>21.346261800729199</v>
      </c>
      <c r="DG48" s="108">
        <v>21.4601184694903</v>
      </c>
    </row>
    <row r="49" spans="1:111" s="30" customFormat="1" x14ac:dyDescent="0.3">
      <c r="A49" s="114" t="s">
        <v>28</v>
      </c>
      <c r="B49" s="105"/>
      <c r="C49" s="105"/>
      <c r="D49" s="105"/>
      <c r="E49" s="105"/>
      <c r="F49" s="105"/>
      <c r="G49" s="105"/>
      <c r="H49" s="105"/>
      <c r="I49" s="105"/>
      <c r="J49" s="25"/>
      <c r="K49" s="25"/>
      <c r="L49" s="25"/>
      <c r="M49" s="106"/>
      <c r="N49" s="106"/>
      <c r="O49" s="106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106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5"/>
      <c r="CN49" s="25"/>
      <c r="CO49" s="25"/>
      <c r="CP49" s="25"/>
      <c r="CQ49" s="25"/>
      <c r="CR49" s="25"/>
      <c r="CS49" s="25"/>
      <c r="CT49" s="25"/>
      <c r="CU49" s="25"/>
      <c r="CV49" s="25"/>
      <c r="CW49" s="25"/>
      <c r="CX49" s="25"/>
      <c r="CY49" s="25"/>
      <c r="CZ49" s="25"/>
      <c r="DA49" s="25"/>
      <c r="DB49" s="25"/>
      <c r="DC49" s="25"/>
      <c r="DD49" s="25"/>
      <c r="DE49" s="25"/>
      <c r="DF49" s="25"/>
      <c r="DG49" s="25"/>
    </row>
    <row r="50" spans="1:111" s="30" customFormat="1" x14ac:dyDescent="0.3">
      <c r="A50" s="48" t="s">
        <v>28</v>
      </c>
      <c r="B50" s="25">
        <v>181791.83743919994</v>
      </c>
      <c r="C50" s="25">
        <v>343561.90536707017</v>
      </c>
      <c r="D50" s="25">
        <v>384433.91038517002</v>
      </c>
      <c r="E50" s="25">
        <v>381853.4762843597</v>
      </c>
      <c r="F50" s="25">
        <v>382430.96665683028</v>
      </c>
      <c r="G50" s="25">
        <v>371062.74877768988</v>
      </c>
      <c r="H50" s="25">
        <v>386834.41615327972</v>
      </c>
      <c r="I50" s="25">
        <v>374160.1049805301</v>
      </c>
      <c r="J50" s="19">
        <v>382664.40907906007</v>
      </c>
      <c r="K50" s="19">
        <v>388767.53662751999</v>
      </c>
      <c r="L50" s="19">
        <v>398723.52523054002</v>
      </c>
      <c r="M50" s="27">
        <v>458402.73526269</v>
      </c>
      <c r="N50" s="27">
        <v>465517.81000121002</v>
      </c>
      <c r="O50" s="42">
        <v>454164.14607706002</v>
      </c>
      <c r="P50" s="42">
        <v>469639.12933098001</v>
      </c>
      <c r="Q50" s="42">
        <v>466855.14358814998</v>
      </c>
      <c r="R50" s="42">
        <v>481353.31291948998</v>
      </c>
      <c r="S50" s="42">
        <v>497619.71889592003</v>
      </c>
      <c r="T50" s="42">
        <v>502148.96832238999</v>
      </c>
      <c r="U50" s="42">
        <v>480240.52613069001</v>
      </c>
      <c r="V50" s="42">
        <v>480993.47621410998</v>
      </c>
      <c r="W50" s="42">
        <v>479305.33315815998</v>
      </c>
      <c r="X50" s="42">
        <v>460008.05329432001</v>
      </c>
      <c r="Y50" s="42">
        <v>517678.97119681002</v>
      </c>
      <c r="Z50" s="42">
        <v>522573.32951826998</v>
      </c>
      <c r="AA50" s="42">
        <v>509475.68740475998</v>
      </c>
      <c r="AB50" s="42">
        <v>506050.00840513001</v>
      </c>
      <c r="AC50" s="42">
        <v>489660.13013238</v>
      </c>
      <c r="AD50" s="42">
        <v>495841.26322041999</v>
      </c>
      <c r="AE50" s="42">
        <v>474653.65532498999</v>
      </c>
      <c r="AF50" s="42">
        <v>476424.80563739</v>
      </c>
      <c r="AG50" s="42">
        <v>472397.14232032001</v>
      </c>
      <c r="AH50" s="42">
        <v>494610.92116457003</v>
      </c>
      <c r="AI50" s="42">
        <v>502634.29941394</v>
      </c>
      <c r="AJ50" s="42">
        <v>493781.94823201001</v>
      </c>
      <c r="AK50" s="42">
        <v>564673.75329161005</v>
      </c>
      <c r="AL50" s="42">
        <v>581728.91040270997</v>
      </c>
      <c r="AM50" s="42">
        <v>584492.00654221</v>
      </c>
      <c r="AN50" s="42">
        <v>561753.75007753004</v>
      </c>
      <c r="AO50" s="42">
        <v>593876.63067103003</v>
      </c>
      <c r="AP50" s="42">
        <v>636142.83253736002</v>
      </c>
      <c r="AQ50" s="42">
        <v>639058.79794960003</v>
      </c>
      <c r="AR50" s="42">
        <v>649380.71964438003</v>
      </c>
      <c r="AS50" s="42">
        <v>647388.49137000996</v>
      </c>
      <c r="AT50" s="42">
        <v>681831.29045085004</v>
      </c>
      <c r="AU50" s="42">
        <v>700209.21107704996</v>
      </c>
      <c r="AV50" s="42">
        <v>713770.9278982</v>
      </c>
      <c r="AW50" s="42">
        <v>819719.27973564004</v>
      </c>
      <c r="AX50" s="42">
        <v>787775.5934599</v>
      </c>
      <c r="AY50" s="42">
        <v>787963.35188933997</v>
      </c>
      <c r="AZ50" s="42">
        <v>798447.20348212996</v>
      </c>
      <c r="BA50" s="42">
        <v>801663.93665906996</v>
      </c>
      <c r="BB50" s="42">
        <v>772005.11214764998</v>
      </c>
      <c r="BC50" s="42">
        <v>771250.37507968</v>
      </c>
      <c r="BD50" s="42">
        <v>768523.81706793001</v>
      </c>
      <c r="BE50" s="42">
        <v>717963.96407306998</v>
      </c>
      <c r="BF50" s="42">
        <v>747018.69050004997</v>
      </c>
      <c r="BG50" s="42">
        <v>755379.69213366997</v>
      </c>
      <c r="BH50" s="42">
        <v>742880.31713801995</v>
      </c>
      <c r="BI50" s="42">
        <v>861245.82843591005</v>
      </c>
      <c r="BJ50" s="42">
        <v>786601.24839704996</v>
      </c>
      <c r="BK50" s="28">
        <v>687629.94424412015</v>
      </c>
      <c r="BL50" s="42">
        <v>776158.86086323997</v>
      </c>
      <c r="BM50" s="42">
        <v>802577.70352216996</v>
      </c>
      <c r="BN50" s="42">
        <v>798344.28834937001</v>
      </c>
      <c r="BO50" s="42">
        <v>803719.87822179997</v>
      </c>
      <c r="BP50" s="42">
        <v>846038.25499109004</v>
      </c>
      <c r="BQ50" s="42">
        <v>842684.16506222996</v>
      </c>
      <c r="BR50" s="42">
        <v>884115.02500049002</v>
      </c>
      <c r="BS50" s="42">
        <v>941106.08579207002</v>
      </c>
      <c r="BT50" s="42">
        <v>977680.70343919005</v>
      </c>
      <c r="BU50" s="42">
        <v>1075303.7826020699</v>
      </c>
      <c r="BV50" s="42">
        <v>1016308.47942238</v>
      </c>
      <c r="BW50" s="42">
        <v>1024447.7272589999</v>
      </c>
      <c r="BX50" s="42">
        <v>1045172.60388332</v>
      </c>
      <c r="BY50" s="42">
        <v>1123299.3453937599</v>
      </c>
      <c r="BZ50" s="42">
        <v>1136425.59056982</v>
      </c>
      <c r="CA50" s="42">
        <v>1198135.16723896</v>
      </c>
      <c r="CB50" s="42">
        <v>1232357.9804960601</v>
      </c>
      <c r="CC50" s="42">
        <v>1252048.51058078</v>
      </c>
      <c r="CD50" s="42">
        <v>1281641.7455309001</v>
      </c>
      <c r="CE50" s="42">
        <v>1294386.2362836001</v>
      </c>
      <c r="CF50" s="42">
        <v>1356024.1765244999</v>
      </c>
      <c r="CG50" s="42">
        <v>1508503.7726189001</v>
      </c>
      <c r="CH50" s="42">
        <v>1449964.0491895</v>
      </c>
      <c r="CI50" s="42">
        <v>1451391.4970833601</v>
      </c>
      <c r="CJ50" s="42">
        <v>1466207.2958621399</v>
      </c>
      <c r="CK50" s="42">
        <v>1437136.7575046001</v>
      </c>
      <c r="CL50" s="42">
        <v>1500576.1306901299</v>
      </c>
      <c r="CM50" s="46">
        <v>1482157.0789203299</v>
      </c>
      <c r="CN50" s="46">
        <v>1504968.56909346</v>
      </c>
      <c r="CO50" s="46">
        <v>1506166.17698597</v>
      </c>
      <c r="CP50" s="46">
        <v>1521416.7911094101</v>
      </c>
      <c r="CQ50" s="46">
        <v>1553077.8917912701</v>
      </c>
      <c r="CR50" s="46">
        <v>1577544.1055528999</v>
      </c>
      <c r="CS50" s="46">
        <v>1714126.37727834</v>
      </c>
      <c r="CT50" s="46">
        <v>1668496.73604546</v>
      </c>
      <c r="CU50" s="46">
        <v>1673117.6873443599</v>
      </c>
      <c r="CV50" s="46">
        <v>1683094.27386268</v>
      </c>
      <c r="CW50" s="46">
        <v>1732741.0126032999</v>
      </c>
      <c r="CX50" s="46">
        <v>1662307.5331413001</v>
      </c>
      <c r="CY50" s="46">
        <v>1680906.76436265</v>
      </c>
      <c r="CZ50" s="46">
        <v>1645610.7157282</v>
      </c>
      <c r="DA50" s="46">
        <v>1635151.08964925</v>
      </c>
      <c r="DB50" s="46">
        <v>1694660.83266409</v>
      </c>
      <c r="DC50" s="46">
        <v>1730468.4007554201</v>
      </c>
      <c r="DD50" s="46">
        <v>1757212.0228589801</v>
      </c>
      <c r="DE50" s="46">
        <v>2019476.18544766</v>
      </c>
      <c r="DF50" s="46">
        <v>1862520.1231242199</v>
      </c>
      <c r="DG50" s="46">
        <v>1922058.0412095101</v>
      </c>
    </row>
    <row r="51" spans="1:111" s="30" customFormat="1" x14ac:dyDescent="0.3">
      <c r="A51" s="31" t="s">
        <v>26</v>
      </c>
      <c r="B51" s="25">
        <v>1205.6561245599996</v>
      </c>
      <c r="C51" s="25">
        <v>7128.089381939998</v>
      </c>
      <c r="D51" s="25">
        <v>5689.9727980999996</v>
      </c>
      <c r="E51" s="25">
        <v>5530.2620275399995</v>
      </c>
      <c r="F51" s="25">
        <v>5455.0718956800001</v>
      </c>
      <c r="G51" s="25">
        <v>5472.1964336899982</v>
      </c>
      <c r="H51" s="25">
        <v>5472.9741588599991</v>
      </c>
      <c r="I51" s="25">
        <v>5468.1280237399988</v>
      </c>
      <c r="J51" s="26">
        <v>5464.0626979099998</v>
      </c>
      <c r="K51" s="26">
        <v>5609.0237585599998</v>
      </c>
      <c r="L51" s="26">
        <v>5150.0639024399998</v>
      </c>
      <c r="M51" s="29">
        <v>5019.2876659699996</v>
      </c>
      <c r="N51" s="29">
        <v>4786.5854234099997</v>
      </c>
      <c r="O51" s="28">
        <v>4785.5016814800001</v>
      </c>
      <c r="P51" s="28">
        <v>4720.1095714200001</v>
      </c>
      <c r="Q51" s="28">
        <v>4705.0414565800002</v>
      </c>
      <c r="R51" s="28">
        <v>4705.4758153700004</v>
      </c>
      <c r="S51" s="28">
        <v>4705.7978626900003</v>
      </c>
      <c r="T51" s="28">
        <v>4706.2652218100002</v>
      </c>
      <c r="U51" s="28">
        <v>4766.1099699300003</v>
      </c>
      <c r="V51" s="28">
        <v>4781.7140392800002</v>
      </c>
      <c r="W51" s="28">
        <v>4768.5113131400003</v>
      </c>
      <c r="X51" s="28">
        <v>4823.6346177900004</v>
      </c>
      <c r="Y51" s="28">
        <v>4769.5587371000001</v>
      </c>
      <c r="Z51" s="28">
        <v>4841.6232038999997</v>
      </c>
      <c r="AA51" s="28">
        <v>4838.3465128799999</v>
      </c>
      <c r="AB51" s="28">
        <v>4762.5599629799999</v>
      </c>
      <c r="AC51" s="28">
        <v>4762.5977705799996</v>
      </c>
      <c r="AD51" s="28">
        <v>4759.44303915</v>
      </c>
      <c r="AE51" s="28">
        <v>4752.7560942299997</v>
      </c>
      <c r="AF51" s="28">
        <v>4747.8836784599998</v>
      </c>
      <c r="AG51" s="28">
        <v>4748.7639402599998</v>
      </c>
      <c r="AH51" s="28">
        <v>4680.9025649499999</v>
      </c>
      <c r="AI51" s="28">
        <v>4684.4409892100002</v>
      </c>
      <c r="AJ51" s="28">
        <v>4662.4868708699996</v>
      </c>
      <c r="AK51" s="28">
        <v>4591.0540064899997</v>
      </c>
      <c r="AL51" s="28">
        <v>4595.1433215200004</v>
      </c>
      <c r="AM51" s="28">
        <v>4594.2793073000003</v>
      </c>
      <c r="AN51" s="28">
        <v>4609.8695157399998</v>
      </c>
      <c r="AO51" s="28">
        <v>4605.8095124900001</v>
      </c>
      <c r="AP51" s="28">
        <v>4605.7976716599997</v>
      </c>
      <c r="AQ51" s="28">
        <v>4606.5972065200003</v>
      </c>
      <c r="AR51" s="28">
        <v>4612.0771443599997</v>
      </c>
      <c r="AS51" s="28">
        <v>5219.5593622799997</v>
      </c>
      <c r="AT51" s="28">
        <v>4553.0700473300003</v>
      </c>
      <c r="AU51" s="28">
        <v>4553.9937659899997</v>
      </c>
      <c r="AV51" s="28">
        <v>4553.4447920100001</v>
      </c>
      <c r="AW51" s="28">
        <v>5034.8791072699996</v>
      </c>
      <c r="AX51" s="28">
        <v>5008.68769582</v>
      </c>
      <c r="AY51" s="28">
        <v>4987.6543567899998</v>
      </c>
      <c r="AZ51" s="28">
        <v>4884.8409451699999</v>
      </c>
      <c r="BA51" s="28">
        <v>5958.1769764500004</v>
      </c>
      <c r="BB51" s="28">
        <v>5943.7065702800001</v>
      </c>
      <c r="BC51" s="28">
        <v>5951.4534175299996</v>
      </c>
      <c r="BD51" s="28">
        <v>5016.10598906</v>
      </c>
      <c r="BE51" s="28">
        <v>5034.6092617499999</v>
      </c>
      <c r="BF51" s="28">
        <v>4998.2825872900003</v>
      </c>
      <c r="BG51" s="28">
        <v>4928.1993772799997</v>
      </c>
      <c r="BH51" s="28">
        <v>1972.8439534900001</v>
      </c>
      <c r="BI51" s="28">
        <v>1922.0522311</v>
      </c>
      <c r="BJ51" s="28">
        <v>1938.44847443</v>
      </c>
      <c r="BK51" s="29">
        <v>1953.5374586099999</v>
      </c>
      <c r="BL51" s="28">
        <v>1967.7615768799999</v>
      </c>
      <c r="BM51" s="28">
        <v>1981.4927876500001</v>
      </c>
      <c r="BN51" s="28">
        <v>1997.79236399</v>
      </c>
      <c r="BO51" s="28">
        <v>2485.5887884399999</v>
      </c>
      <c r="BP51" s="28">
        <v>3253.84493509</v>
      </c>
      <c r="BQ51" s="28">
        <v>3283.9509468699998</v>
      </c>
      <c r="BR51" s="28">
        <v>3542.6275171000002</v>
      </c>
      <c r="BS51" s="28">
        <v>3682.3082190599998</v>
      </c>
      <c r="BT51" s="28">
        <v>3086.0856914800002</v>
      </c>
      <c r="BU51" s="28">
        <v>3063.5062000399998</v>
      </c>
      <c r="BV51" s="28">
        <v>3100.59728537</v>
      </c>
      <c r="BW51" s="28">
        <v>2896.9742915100001</v>
      </c>
      <c r="BX51" s="28">
        <v>2930.3970113800001</v>
      </c>
      <c r="BY51" s="28">
        <v>2966.2085861300002</v>
      </c>
      <c r="BZ51" s="28">
        <v>2789.3119989800002</v>
      </c>
      <c r="CA51" s="28">
        <v>2819.0818866599998</v>
      </c>
      <c r="CB51" s="28">
        <v>2019.3904900299999</v>
      </c>
      <c r="CC51" s="28">
        <v>2036.7496877799999</v>
      </c>
      <c r="CD51" s="28">
        <v>1984.22854895</v>
      </c>
      <c r="CE51" s="28">
        <v>1973.8205708400001</v>
      </c>
      <c r="CF51" s="28">
        <v>1989.80405881</v>
      </c>
      <c r="CG51" s="28">
        <v>1131.66232218</v>
      </c>
      <c r="CH51" s="28">
        <v>1141.0189591200001</v>
      </c>
      <c r="CI51" s="28">
        <v>1122.3887464500001</v>
      </c>
      <c r="CJ51" s="28">
        <v>1128.96870971</v>
      </c>
      <c r="CK51" s="28">
        <v>1190.1787918099999</v>
      </c>
      <c r="CL51" s="28">
        <v>1141.4074197699999</v>
      </c>
      <c r="CM51" s="26">
        <v>1130.0026293400001</v>
      </c>
      <c r="CN51" s="26">
        <v>1137.18864869</v>
      </c>
      <c r="CO51" s="26">
        <v>1139.71550538</v>
      </c>
      <c r="CP51" s="26">
        <v>1135.94898554</v>
      </c>
      <c r="CQ51" s="26">
        <v>1218.9189346400001</v>
      </c>
      <c r="CR51" s="26">
        <v>1201.7407139300001</v>
      </c>
      <c r="CS51" s="26">
        <v>1215.4444893299999</v>
      </c>
      <c r="CT51" s="26">
        <v>1265.80792238</v>
      </c>
      <c r="CU51" s="26">
        <v>1273.9125171000001</v>
      </c>
      <c r="CV51" s="26">
        <v>1215.3097779699999</v>
      </c>
      <c r="CW51" s="26">
        <v>1202.46958838</v>
      </c>
      <c r="CX51" s="26">
        <v>1185.8448733800001</v>
      </c>
      <c r="CY51" s="26">
        <v>1190.7974675800001</v>
      </c>
      <c r="CZ51" s="26">
        <v>1200.28081157</v>
      </c>
      <c r="DA51" s="26">
        <v>1205.5368875199999</v>
      </c>
      <c r="DB51" s="26">
        <v>1210.49007998</v>
      </c>
      <c r="DC51" s="26">
        <v>5499.1929729200001</v>
      </c>
      <c r="DD51" s="26">
        <v>1186.8647327199999</v>
      </c>
      <c r="DE51" s="26">
        <v>4916.5354641100002</v>
      </c>
      <c r="DF51" s="26">
        <v>7151.6028976199996</v>
      </c>
      <c r="DG51" s="26">
        <v>1219.7357288999999</v>
      </c>
    </row>
    <row r="52" spans="1:111" s="113" customFormat="1" x14ac:dyDescent="0.3">
      <c r="A52" s="107" t="s">
        <v>27</v>
      </c>
      <c r="B52" s="108">
        <v>0.66320696327371131</v>
      </c>
      <c r="C52" s="108">
        <v>2.0747612789969159</v>
      </c>
      <c r="D52" s="108">
        <v>1.4800912834143929</v>
      </c>
      <c r="E52" s="108">
        <v>1.4482680847513638</v>
      </c>
      <c r="F52" s="108">
        <v>1.4264200264344811</v>
      </c>
      <c r="G52" s="108">
        <v>1.4747361333671589</v>
      </c>
      <c r="H52" s="108">
        <v>1.4148105572621494</v>
      </c>
      <c r="I52" s="108">
        <v>1.4614406910176969</v>
      </c>
      <c r="J52" s="109">
        <v>1.4278993729937139</v>
      </c>
      <c r="K52" s="109">
        <v>1.4427706097111801</v>
      </c>
      <c r="L52" s="109">
        <v>1.29163783337395</v>
      </c>
      <c r="M52" s="110">
        <v>1.0949515087630699</v>
      </c>
      <c r="N52" s="110">
        <v>1.0282282053607299</v>
      </c>
      <c r="O52" s="111">
        <v>1.05369429154983</v>
      </c>
      <c r="P52" s="111">
        <v>1.0050503198368499</v>
      </c>
      <c r="Q52" s="111">
        <v>1.00781613337663</v>
      </c>
      <c r="R52" s="111">
        <v>0.97755135138272697</v>
      </c>
      <c r="S52" s="111">
        <v>0.94566145271149205</v>
      </c>
      <c r="T52" s="111">
        <v>0.93722491107230199</v>
      </c>
      <c r="U52" s="111">
        <v>0.99244226811316205</v>
      </c>
      <c r="V52" s="111">
        <v>0.99413282627381505</v>
      </c>
      <c r="W52" s="111">
        <v>0.99487966923299398</v>
      </c>
      <c r="X52" s="111">
        <v>1.0485978632864901</v>
      </c>
      <c r="Y52" s="111">
        <v>0.92133522945183</v>
      </c>
      <c r="Z52" s="111">
        <v>0.92649642268640298</v>
      </c>
      <c r="AA52" s="111">
        <v>0.94967171790400096</v>
      </c>
      <c r="AB52" s="111">
        <v>0.94112437187575804</v>
      </c>
      <c r="AC52" s="111">
        <v>0.97263335883450996</v>
      </c>
      <c r="AD52" s="111">
        <v>0.95987232047572701</v>
      </c>
      <c r="AE52" s="111">
        <v>1.0013103324730199</v>
      </c>
      <c r="AF52" s="111">
        <v>0.99656517088945296</v>
      </c>
      <c r="AG52" s="111">
        <v>1.0052482360361099</v>
      </c>
      <c r="AH52" s="111">
        <v>0.94638075397298804</v>
      </c>
      <c r="AI52" s="111">
        <v>0.93197797975027796</v>
      </c>
      <c r="AJ52" s="111">
        <v>0.94424004108778603</v>
      </c>
      <c r="AK52" s="111">
        <v>0.81304540537393799</v>
      </c>
      <c r="AL52" s="111">
        <v>0.78991145864470602</v>
      </c>
      <c r="AM52" s="111">
        <v>0.78602945051023898</v>
      </c>
      <c r="AN52" s="111">
        <v>0.82062104883212095</v>
      </c>
      <c r="AO52" s="111">
        <v>0.77554988268958003</v>
      </c>
      <c r="AP52" s="111">
        <v>0.72401942395373997</v>
      </c>
      <c r="AQ52" s="111">
        <v>0.72084090248035404</v>
      </c>
      <c r="AR52" s="111">
        <v>0.71022699086072505</v>
      </c>
      <c r="AS52" s="111">
        <v>0.80624840136319298</v>
      </c>
      <c r="AT52" s="111">
        <v>0.66777076838455995</v>
      </c>
      <c r="AU52" s="111">
        <v>0.65037615814638094</v>
      </c>
      <c r="AV52" s="111">
        <v>0.63794203630824098</v>
      </c>
      <c r="AW52" s="111">
        <v>0.61421992037246598</v>
      </c>
      <c r="AX52" s="111">
        <v>0.63580132938898404</v>
      </c>
      <c r="AY52" s="111">
        <v>0.63298049900808795</v>
      </c>
      <c r="AZ52" s="111">
        <v>0.61179260492949095</v>
      </c>
      <c r="BA52" s="111">
        <v>0.74322627025991295</v>
      </c>
      <c r="BB52" s="111">
        <v>0.76990507922222595</v>
      </c>
      <c r="BC52" s="111">
        <v>0.77166295276227703</v>
      </c>
      <c r="BD52" s="111">
        <v>0.65269362870202696</v>
      </c>
      <c r="BE52" s="111">
        <v>0.70123425599082101</v>
      </c>
      <c r="BF52" s="111">
        <v>0.66909739352628195</v>
      </c>
      <c r="BG52" s="111">
        <v>0.65241353833059101</v>
      </c>
      <c r="BH52" s="111">
        <v>0.26556686292220899</v>
      </c>
      <c r="BI52" s="111">
        <v>0.223171151329766</v>
      </c>
      <c r="BJ52" s="111">
        <v>0.24643343477781199</v>
      </c>
      <c r="BK52" s="112">
        <v>0.28409720591173987</v>
      </c>
      <c r="BL52" s="111">
        <v>0.253525621635172</v>
      </c>
      <c r="BM52" s="111">
        <v>0.24689108343704</v>
      </c>
      <c r="BN52" s="111">
        <v>0.250241956151596</v>
      </c>
      <c r="BO52" s="111">
        <v>0.30926058391628602</v>
      </c>
      <c r="BP52" s="111">
        <v>0.384597849552828</v>
      </c>
      <c r="BQ52" s="111">
        <v>0.38970127635274698</v>
      </c>
      <c r="BR52" s="111">
        <v>0.40069758084905699</v>
      </c>
      <c r="BS52" s="111">
        <v>0.39127450928774199</v>
      </c>
      <c r="BT52" s="111">
        <v>0.31565373854920797</v>
      </c>
      <c r="BU52" s="111">
        <v>0.28489681238047798</v>
      </c>
      <c r="BV52" s="111">
        <v>0.30508426802974498</v>
      </c>
      <c r="BW52" s="111">
        <v>0.28278400297310502</v>
      </c>
      <c r="BX52" s="111">
        <v>0.28037445685929402</v>
      </c>
      <c r="BY52" s="111">
        <v>0.26406216635782198</v>
      </c>
      <c r="BZ52" s="111">
        <v>0.245446074263551</v>
      </c>
      <c r="CA52" s="111">
        <v>0.235289136296402</v>
      </c>
      <c r="CB52" s="111">
        <v>0.16386395203260101</v>
      </c>
      <c r="CC52" s="111">
        <v>0.162673384502908</v>
      </c>
      <c r="CD52" s="111">
        <v>0.154819282055148</v>
      </c>
      <c r="CE52" s="111">
        <v>0.15249084975649699</v>
      </c>
      <c r="CF52" s="111">
        <v>0.14673809606476801</v>
      </c>
      <c r="CG52" s="111">
        <v>7.5018859264457199E-2</v>
      </c>
      <c r="CH52" s="111">
        <v>7.8692913783469695E-2</v>
      </c>
      <c r="CI52" s="111">
        <v>7.7331908634265395E-2</v>
      </c>
      <c r="CJ52" s="111">
        <v>7.6999256032630706E-2</v>
      </c>
      <c r="CK52" s="111">
        <v>8.2815973190790093E-2</v>
      </c>
      <c r="CL52" s="111">
        <v>7.6064612546186197E-2</v>
      </c>
      <c r="CM52" s="109">
        <v>7.6240409698218006E-2</v>
      </c>
      <c r="CN52" s="109">
        <v>7.5562285621353698E-2</v>
      </c>
      <c r="CO52" s="109">
        <v>7.5669970737273898E-2</v>
      </c>
      <c r="CP52" s="109">
        <v>7.46638917210629E-2</v>
      </c>
      <c r="CQ52" s="109">
        <v>7.8484082548759895E-2</v>
      </c>
      <c r="CR52" s="109">
        <v>7.6177947082424799E-2</v>
      </c>
      <c r="CS52" s="109">
        <v>7.0907519156193199E-2</v>
      </c>
      <c r="CT52" s="109">
        <v>7.5865172225635796E-2</v>
      </c>
      <c r="CU52" s="109">
        <v>7.6140042433118102E-2</v>
      </c>
      <c r="CV52" s="109">
        <v>7.2206874970876106E-2</v>
      </c>
      <c r="CW52" s="109">
        <v>6.9396960055408893E-2</v>
      </c>
      <c r="CX52" s="109">
        <v>7.1337273623436101E-2</v>
      </c>
      <c r="CY52" s="109">
        <v>7.0842565026592405E-2</v>
      </c>
      <c r="CZ52" s="109">
        <v>7.2938320108037399E-2</v>
      </c>
      <c r="DA52" s="109">
        <v>7.3726329949032096E-2</v>
      </c>
      <c r="DB52" s="109">
        <v>7.1429636930774504E-2</v>
      </c>
      <c r="DC52" s="109">
        <v>0.31778638491863698</v>
      </c>
      <c r="DD52" s="109">
        <v>6.7542488742421303E-2</v>
      </c>
      <c r="DE52" s="109">
        <v>0.24345597633379101</v>
      </c>
      <c r="DF52" s="109">
        <v>0.38397453046702101</v>
      </c>
      <c r="DG52" s="109">
        <v>6.3459880125807597E-2</v>
      </c>
    </row>
    <row r="53" spans="1:111" x14ac:dyDescent="0.3">
      <c r="A53" s="115" t="s">
        <v>29</v>
      </c>
      <c r="B53" s="105"/>
      <c r="C53" s="105"/>
      <c r="D53" s="105"/>
      <c r="E53" s="105"/>
      <c r="F53" s="105"/>
      <c r="G53" s="105"/>
      <c r="H53" s="105"/>
      <c r="I53" s="105"/>
      <c r="J53" s="116"/>
      <c r="K53" s="116"/>
      <c r="L53" s="116"/>
      <c r="M53" s="116"/>
      <c r="N53" s="116"/>
      <c r="O53" s="116"/>
      <c r="P53" s="116"/>
      <c r="Q53" s="116"/>
      <c r="R53" s="116"/>
      <c r="S53" s="116"/>
      <c r="T53" s="116"/>
      <c r="U53" s="116"/>
      <c r="V53" s="116"/>
      <c r="W53" s="116"/>
      <c r="X53" s="116"/>
      <c r="Y53" s="116"/>
      <c r="Z53" s="116"/>
      <c r="AA53" s="116"/>
      <c r="AB53" s="116"/>
      <c r="AC53" s="116"/>
      <c r="AD53" s="116"/>
      <c r="AE53" s="116"/>
      <c r="AF53" s="116"/>
      <c r="AG53" s="116"/>
      <c r="AH53" s="116"/>
      <c r="AI53" s="116"/>
      <c r="AJ53" s="116"/>
      <c r="AK53" s="116"/>
      <c r="AL53" s="116"/>
      <c r="AM53" s="116"/>
      <c r="AN53" s="116"/>
      <c r="AO53" s="116"/>
      <c r="AP53" s="116"/>
      <c r="AQ53" s="116"/>
      <c r="AR53" s="116"/>
      <c r="AS53" s="116"/>
      <c r="AT53" s="116"/>
      <c r="AU53" s="116"/>
      <c r="AV53" s="116"/>
      <c r="AW53" s="116"/>
      <c r="AX53" s="116"/>
      <c r="AY53" s="116"/>
      <c r="AZ53" s="116"/>
      <c r="BA53" s="116"/>
      <c r="BB53" s="116"/>
      <c r="BC53" s="116"/>
      <c r="BD53" s="116"/>
      <c r="BE53" s="116"/>
      <c r="BF53" s="116"/>
      <c r="BG53" s="116"/>
      <c r="BH53" s="116"/>
      <c r="BI53" s="116"/>
      <c r="BJ53" s="116"/>
      <c r="BK53" s="117"/>
      <c r="BL53" s="116"/>
      <c r="BM53" s="116"/>
      <c r="BN53" s="116"/>
      <c r="BO53" s="116"/>
      <c r="BP53" s="116"/>
      <c r="BQ53" s="116"/>
      <c r="BR53" s="116"/>
      <c r="BS53" s="116"/>
      <c r="BT53" s="116"/>
      <c r="BU53" s="116"/>
      <c r="BV53" s="116"/>
      <c r="BW53" s="116"/>
      <c r="BX53" s="116"/>
      <c r="BY53" s="116"/>
      <c r="BZ53" s="116"/>
      <c r="CA53" s="116"/>
      <c r="CB53" s="116"/>
      <c r="CC53" s="116"/>
      <c r="CD53" s="116"/>
      <c r="CE53" s="116"/>
      <c r="CF53" s="116"/>
      <c r="CG53" s="116"/>
      <c r="CH53" s="116"/>
      <c r="CI53" s="116"/>
      <c r="CJ53" s="116"/>
      <c r="CK53" s="116"/>
      <c r="CL53" s="116"/>
      <c r="CM53" s="116"/>
      <c r="CN53" s="116"/>
      <c r="CO53" s="116"/>
      <c r="CP53" s="116"/>
      <c r="CQ53" s="116"/>
      <c r="CR53" s="116"/>
      <c r="CS53" s="116"/>
      <c r="CT53" s="116"/>
      <c r="CU53" s="116"/>
      <c r="CV53" s="116"/>
      <c r="CW53" s="116"/>
      <c r="CX53" s="116"/>
      <c r="CY53" s="116"/>
      <c r="CZ53" s="116"/>
      <c r="DA53" s="116"/>
      <c r="DB53" s="116"/>
      <c r="DC53" s="116"/>
      <c r="DD53" s="116"/>
      <c r="DE53" s="116"/>
      <c r="DF53" s="116"/>
      <c r="DG53" s="116"/>
    </row>
    <row r="54" spans="1:111" s="30" customFormat="1" ht="28.8" x14ac:dyDescent="0.3">
      <c r="A54" s="24" t="s">
        <v>30</v>
      </c>
      <c r="B54" s="105">
        <v>24066.204544169992</v>
      </c>
      <c r="C54" s="105">
        <v>43857.355182720006</v>
      </c>
      <c r="D54" s="105">
        <v>46302.792000450041</v>
      </c>
      <c r="E54" s="105">
        <v>46852.340328350001</v>
      </c>
      <c r="F54" s="105">
        <v>45226.148416270014</v>
      </c>
      <c r="G54" s="105">
        <v>50477.06715630999</v>
      </c>
      <c r="H54" s="105">
        <v>44749.319259120028</v>
      </c>
      <c r="I54" s="105">
        <v>45343.240652069966</v>
      </c>
      <c r="J54" s="105">
        <v>43547.901505189991</v>
      </c>
      <c r="K54" s="105">
        <v>43859.055310819997</v>
      </c>
      <c r="L54" s="105">
        <v>43085.672537979997</v>
      </c>
      <c r="M54" s="106">
        <v>37357.034611199997</v>
      </c>
      <c r="N54" s="106">
        <v>45866.86120354</v>
      </c>
      <c r="O54" s="106">
        <v>56723.87203228</v>
      </c>
      <c r="P54" s="106">
        <v>44512.107929719998</v>
      </c>
      <c r="Q54" s="106">
        <v>51565.526700820003</v>
      </c>
      <c r="R54" s="106">
        <v>47297.075283880004</v>
      </c>
      <c r="S54" s="106">
        <v>46795.188897630003</v>
      </c>
      <c r="T54" s="106">
        <v>45975.344096430003</v>
      </c>
      <c r="U54" s="106">
        <v>50463.077235620003</v>
      </c>
      <c r="V54" s="106">
        <v>49850.298618729998</v>
      </c>
      <c r="W54" s="106">
        <v>49076.718348360002</v>
      </c>
      <c r="X54" s="106">
        <v>51133.256257749999</v>
      </c>
      <c r="Y54" s="106">
        <v>35708.129634659999</v>
      </c>
      <c r="Z54" s="106">
        <v>50996.063954980003</v>
      </c>
      <c r="AA54" s="106">
        <v>49607.051415219998</v>
      </c>
      <c r="AB54" s="106">
        <v>48300.654697550002</v>
      </c>
      <c r="AC54" s="106">
        <v>43543.143873120003</v>
      </c>
      <c r="AD54" s="106">
        <v>48823.609616070004</v>
      </c>
      <c r="AE54" s="106">
        <v>51220.453241379997</v>
      </c>
      <c r="AF54" s="106">
        <v>46068.187984390002</v>
      </c>
      <c r="AG54" s="106">
        <v>61752.327836119999</v>
      </c>
      <c r="AH54" s="106">
        <v>49999.568909009999</v>
      </c>
      <c r="AI54" s="106">
        <v>51742.945650330003</v>
      </c>
      <c r="AJ54" s="106">
        <v>54150.949620209998</v>
      </c>
      <c r="AK54" s="106">
        <v>76143.713996609993</v>
      </c>
      <c r="AL54" s="106">
        <v>83659.863466559997</v>
      </c>
      <c r="AM54" s="106">
        <v>56828.642479759998</v>
      </c>
      <c r="AN54" s="106">
        <v>59278.09470555</v>
      </c>
      <c r="AO54" s="106">
        <v>59893.627390740003</v>
      </c>
      <c r="AP54" s="106">
        <v>49739.666838520003</v>
      </c>
      <c r="AQ54" s="106">
        <v>48229.131624100002</v>
      </c>
      <c r="AR54" s="106">
        <v>51989.058735830004</v>
      </c>
      <c r="AS54" s="106">
        <v>56670.286697260002</v>
      </c>
      <c r="AT54" s="106">
        <v>55901.099696149999</v>
      </c>
      <c r="AU54" s="106">
        <v>56733.855500750004</v>
      </c>
      <c r="AV54" s="106">
        <v>52977.185183310001</v>
      </c>
      <c r="AW54" s="106">
        <v>47384.551129710002</v>
      </c>
      <c r="AX54" s="106">
        <v>65262.96792589</v>
      </c>
      <c r="AY54" s="106">
        <v>68625.290776740003</v>
      </c>
      <c r="AZ54" s="106">
        <v>63551.284333050004</v>
      </c>
      <c r="BA54" s="106">
        <v>52851.420655410002</v>
      </c>
      <c r="BB54" s="106">
        <v>79930.978446210007</v>
      </c>
      <c r="BC54" s="106">
        <v>71889.182239889997</v>
      </c>
      <c r="BD54" s="106">
        <v>65726.722246239995</v>
      </c>
      <c r="BE54" s="106">
        <v>72878.45948197</v>
      </c>
      <c r="BF54" s="106">
        <v>67457.260563839998</v>
      </c>
      <c r="BG54" s="106">
        <v>70847.956869720001</v>
      </c>
      <c r="BH54" s="106">
        <v>68479.166286199994</v>
      </c>
      <c r="BI54" s="106">
        <v>54466.33608673</v>
      </c>
      <c r="BJ54" s="106">
        <v>78513.667455799994</v>
      </c>
      <c r="BK54" s="106">
        <v>133595.69660754001</v>
      </c>
      <c r="BL54" s="106">
        <v>55831.789044500001</v>
      </c>
      <c r="BM54" s="106">
        <v>62123.112580100002</v>
      </c>
      <c r="BN54" s="106">
        <v>61958.705074340003</v>
      </c>
      <c r="BO54" s="106">
        <v>59759.088545029997</v>
      </c>
      <c r="BP54" s="106">
        <v>49716.878881019999</v>
      </c>
      <c r="BQ54" s="106">
        <v>71279.094359259994</v>
      </c>
      <c r="BR54" s="106">
        <v>69748.814082860001</v>
      </c>
      <c r="BS54" s="106">
        <v>71568.336846270002</v>
      </c>
      <c r="BT54" s="106">
        <v>74718.116758529999</v>
      </c>
      <c r="BU54" s="106">
        <v>84897.659975949995</v>
      </c>
      <c r="BV54" s="106">
        <v>137728.42448453</v>
      </c>
      <c r="BW54" s="106">
        <v>176732.6611809</v>
      </c>
      <c r="BX54" s="106">
        <v>198528.45770647001</v>
      </c>
      <c r="BY54" s="106">
        <v>189821.13173066001</v>
      </c>
      <c r="BZ54" s="106">
        <v>204535.07265438</v>
      </c>
      <c r="CA54" s="106">
        <v>201016.38839862001</v>
      </c>
      <c r="CB54" s="106">
        <v>224083.58301254999</v>
      </c>
      <c r="CC54" s="106">
        <v>199836.20144656001</v>
      </c>
      <c r="CD54" s="106">
        <v>204412.58279827001</v>
      </c>
      <c r="CE54" s="106">
        <v>206393.88561212001</v>
      </c>
      <c r="CF54" s="106">
        <v>207820.04044854001</v>
      </c>
      <c r="CG54" s="106">
        <v>216415.64910524999</v>
      </c>
      <c r="CH54" s="106">
        <v>229639.42281441001</v>
      </c>
      <c r="CI54" s="106">
        <v>226580.22066445</v>
      </c>
      <c r="CJ54" s="106">
        <v>230666.82101386</v>
      </c>
      <c r="CK54" s="106">
        <v>285758.46066998999</v>
      </c>
      <c r="CL54" s="106">
        <v>230287.52061163</v>
      </c>
      <c r="CM54" s="105">
        <v>282159.25940846</v>
      </c>
      <c r="CN54" s="105">
        <v>265545.02280014002</v>
      </c>
      <c r="CO54" s="105">
        <v>245511.12074136999</v>
      </c>
      <c r="CP54" s="105">
        <v>256260.86277696001</v>
      </c>
      <c r="CQ54" s="105">
        <v>264772.05557867</v>
      </c>
      <c r="CR54" s="105">
        <v>244724.28378796999</v>
      </c>
      <c r="CS54" s="105">
        <v>232629.99398758999</v>
      </c>
      <c r="CT54" s="105">
        <v>216681.25212300001</v>
      </c>
      <c r="CU54" s="105">
        <v>252839.56910732001</v>
      </c>
      <c r="CV54" s="105">
        <v>209387.48973249001</v>
      </c>
      <c r="CW54" s="105">
        <v>221363.78032851999</v>
      </c>
      <c r="CX54" s="105">
        <v>262449.71795124002</v>
      </c>
      <c r="CY54" s="105">
        <v>242061.85868286001</v>
      </c>
      <c r="CZ54" s="105">
        <v>257188.82285823999</v>
      </c>
      <c r="DA54" s="105">
        <v>249640.06860982001</v>
      </c>
      <c r="DB54" s="105">
        <v>238763.28788282</v>
      </c>
      <c r="DC54" s="105">
        <v>257227.67407251999</v>
      </c>
      <c r="DD54" s="105">
        <v>271667.97583797999</v>
      </c>
      <c r="DE54" s="105">
        <v>251239.32611982999</v>
      </c>
      <c r="DF54" s="105">
        <v>349604.28217307001</v>
      </c>
      <c r="DG54" s="105">
        <v>296935.53197805001</v>
      </c>
    </row>
    <row r="55" spans="1:111" s="30" customFormat="1" ht="28.8" x14ac:dyDescent="0.3">
      <c r="A55" s="48" t="s">
        <v>31</v>
      </c>
      <c r="B55" s="25">
        <v>82463.608537230117</v>
      </c>
      <c r="C55" s="25">
        <v>128314.77115970991</v>
      </c>
      <c r="D55" s="25">
        <v>131141.76740548</v>
      </c>
      <c r="E55" s="25">
        <v>124367.3507607201</v>
      </c>
      <c r="F55" s="25">
        <v>127646.41314360008</v>
      </c>
      <c r="G55" s="25">
        <v>131782.56889863004</v>
      </c>
      <c r="H55" s="25">
        <v>139610.65610929983</v>
      </c>
      <c r="I55" s="25">
        <v>131837.11881586022</v>
      </c>
      <c r="J55" s="25">
        <v>141113.62471284997</v>
      </c>
      <c r="K55" s="25">
        <v>119069.95336008001</v>
      </c>
      <c r="L55" s="25">
        <v>107759.06885363</v>
      </c>
      <c r="M55" s="42">
        <v>102734.01431514999</v>
      </c>
      <c r="N55" s="42">
        <v>105182.82476310999</v>
      </c>
      <c r="O55" s="27">
        <v>110264.11290376</v>
      </c>
      <c r="P55" s="27">
        <v>107113.97489103999</v>
      </c>
      <c r="Q55" s="27">
        <v>103802.51184249</v>
      </c>
      <c r="R55" s="27">
        <v>100489.72490119</v>
      </c>
      <c r="S55" s="27">
        <v>101000.09885653001</v>
      </c>
      <c r="T55" s="27">
        <v>104937.00317878</v>
      </c>
      <c r="U55" s="27">
        <v>119741.37376834</v>
      </c>
      <c r="V55" s="27">
        <v>118898.43212481</v>
      </c>
      <c r="W55" s="27">
        <v>113723.85718010001</v>
      </c>
      <c r="X55" s="27">
        <v>94263.430900189996</v>
      </c>
      <c r="Y55" s="27">
        <v>91358.70603442</v>
      </c>
      <c r="Z55" s="27">
        <v>83962.623062750004</v>
      </c>
      <c r="AA55" s="27">
        <v>109762.42558132</v>
      </c>
      <c r="AB55" s="27">
        <v>85058.996035260003</v>
      </c>
      <c r="AC55" s="27">
        <v>94197.562837129997</v>
      </c>
      <c r="AD55" s="27">
        <v>97667.045180129993</v>
      </c>
      <c r="AE55" s="27">
        <v>118341.49045727</v>
      </c>
      <c r="AF55" s="27">
        <v>137972.59764980001</v>
      </c>
      <c r="AG55" s="27">
        <v>122558.58765921999</v>
      </c>
      <c r="AH55" s="27">
        <v>115498.46652849</v>
      </c>
      <c r="AI55" s="27">
        <v>113624.88217887</v>
      </c>
      <c r="AJ55" s="27">
        <v>133138.66118395</v>
      </c>
      <c r="AK55" s="27">
        <v>121830.33864622</v>
      </c>
      <c r="AL55" s="27">
        <v>157053.82994761001</v>
      </c>
      <c r="AM55" s="27">
        <v>172563.37666151</v>
      </c>
      <c r="AN55" s="27">
        <v>199836.87649559</v>
      </c>
      <c r="AO55" s="27">
        <v>181684.74103343999</v>
      </c>
      <c r="AP55" s="27">
        <v>186479.23291277999</v>
      </c>
      <c r="AQ55" s="27">
        <v>185173.85961948999</v>
      </c>
      <c r="AR55" s="27">
        <v>206943.31177596</v>
      </c>
      <c r="AS55" s="27">
        <v>202969.38394326999</v>
      </c>
      <c r="AT55" s="27">
        <v>213146.11594806</v>
      </c>
      <c r="AU55" s="27">
        <v>218863.96635532999</v>
      </c>
      <c r="AV55" s="27">
        <v>217254.33478673999</v>
      </c>
      <c r="AW55" s="27">
        <v>182626.33759866</v>
      </c>
      <c r="AX55" s="27">
        <v>189869.68689139001</v>
      </c>
      <c r="AY55" s="27">
        <v>184346.06761175001</v>
      </c>
      <c r="AZ55" s="27">
        <v>189750.57449047</v>
      </c>
      <c r="BA55" s="27">
        <v>199294.06037517</v>
      </c>
      <c r="BB55" s="27">
        <v>207205.19738013999</v>
      </c>
      <c r="BC55" s="27">
        <v>207524.58680647999</v>
      </c>
      <c r="BD55" s="27">
        <v>223489.92002126001</v>
      </c>
      <c r="BE55" s="27">
        <v>217261.02687403999</v>
      </c>
      <c r="BF55" s="27">
        <v>211614.39026814001</v>
      </c>
      <c r="BG55" s="27">
        <v>200290.56784467</v>
      </c>
      <c r="BH55" s="27">
        <v>203069.47164867999</v>
      </c>
      <c r="BI55" s="27">
        <v>182890.33612682001</v>
      </c>
      <c r="BJ55" s="27">
        <v>181998.07710967</v>
      </c>
      <c r="BK55" s="27">
        <v>198067.76191321976</v>
      </c>
      <c r="BL55" s="27">
        <v>184773.27964672999</v>
      </c>
      <c r="BM55" s="27">
        <v>197025.66395394001</v>
      </c>
      <c r="BN55" s="27">
        <v>191839.07629885001</v>
      </c>
      <c r="BO55" s="27">
        <v>237427.87418434999</v>
      </c>
      <c r="BP55" s="27">
        <v>296860.82725873002</v>
      </c>
      <c r="BQ55" s="27">
        <v>282455.60126319999</v>
      </c>
      <c r="BR55" s="27">
        <v>282146.09298497997</v>
      </c>
      <c r="BS55" s="27">
        <v>320743.85511280003</v>
      </c>
      <c r="BT55" s="27">
        <v>309054.85717447998</v>
      </c>
      <c r="BU55" s="27">
        <v>326774.53562103002</v>
      </c>
      <c r="BV55" s="27">
        <v>338338.36594156001</v>
      </c>
      <c r="BW55" s="27">
        <v>348551.27820920001</v>
      </c>
      <c r="BX55" s="27">
        <v>353637.8354866</v>
      </c>
      <c r="BY55" s="27">
        <v>352081.81961884</v>
      </c>
      <c r="BZ55" s="27">
        <v>339494.75087325001</v>
      </c>
      <c r="CA55" s="27">
        <v>354923.58161559002</v>
      </c>
      <c r="CB55" s="27">
        <v>352159.25630375999</v>
      </c>
      <c r="CC55" s="27">
        <v>349962.42181650997</v>
      </c>
      <c r="CD55" s="27">
        <v>331235.34388190001</v>
      </c>
      <c r="CE55" s="27">
        <v>334671.10851299</v>
      </c>
      <c r="CF55" s="27">
        <v>319301.00609854999</v>
      </c>
      <c r="CG55" s="27">
        <v>359132.66706314997</v>
      </c>
      <c r="CH55" s="27">
        <v>342955.28807299997</v>
      </c>
      <c r="CI55" s="27">
        <v>347638.17908451002</v>
      </c>
      <c r="CJ55" s="27">
        <v>370600.65912973997</v>
      </c>
      <c r="CK55" s="27">
        <v>375676.51985958999</v>
      </c>
      <c r="CL55" s="27">
        <v>396548.44123186998</v>
      </c>
      <c r="CM55" s="25">
        <v>403539.08160162001</v>
      </c>
      <c r="CN55" s="25">
        <v>399148.54402879003</v>
      </c>
      <c r="CO55" s="25">
        <v>401044.08511868003</v>
      </c>
      <c r="CP55" s="25">
        <v>358527.97889944998</v>
      </c>
      <c r="CQ55" s="25">
        <v>370033.09153292998</v>
      </c>
      <c r="CR55" s="25">
        <v>357866.14104685001</v>
      </c>
      <c r="CS55" s="25">
        <v>369545.56461137999</v>
      </c>
      <c r="CT55" s="25">
        <v>392220.09094821999</v>
      </c>
      <c r="CU55" s="25">
        <v>369472.89492465998</v>
      </c>
      <c r="CV55" s="25">
        <v>363890.54120424</v>
      </c>
      <c r="CW55" s="25">
        <v>359289.44185983</v>
      </c>
      <c r="CX55" s="25">
        <v>365423.44729247002</v>
      </c>
      <c r="CY55" s="25">
        <v>341909.13298454997</v>
      </c>
      <c r="CZ55" s="25">
        <v>359095.17534229002</v>
      </c>
      <c r="DA55" s="25">
        <v>361390.22359394003</v>
      </c>
      <c r="DB55" s="25">
        <v>359003.01900576998</v>
      </c>
      <c r="DC55" s="25">
        <v>350097.51657874999</v>
      </c>
      <c r="DD55" s="25">
        <v>315155.86831088999</v>
      </c>
      <c r="DE55" s="25">
        <v>333382.32881640003</v>
      </c>
      <c r="DF55" s="25">
        <v>352526.03040872997</v>
      </c>
      <c r="DG55" s="25">
        <v>325819.27317239001</v>
      </c>
    </row>
    <row r="56" spans="1:111" s="30" customFormat="1" x14ac:dyDescent="0.3">
      <c r="A56" s="31" t="s">
        <v>26</v>
      </c>
      <c r="B56" s="25">
        <v>791.80034812000008</v>
      </c>
      <c r="C56" s="25">
        <v>4997.8892643300005</v>
      </c>
      <c r="D56" s="25">
        <v>5397.7957431600025</v>
      </c>
      <c r="E56" s="25">
        <v>4993.1123059700003</v>
      </c>
      <c r="F56" s="25">
        <v>5029.8179760700004</v>
      </c>
      <c r="G56" s="25">
        <v>4942.1361468500027</v>
      </c>
      <c r="H56" s="25">
        <v>4900.8306251599997</v>
      </c>
      <c r="I56" s="25">
        <v>4925.9193855599979</v>
      </c>
      <c r="J56" s="26">
        <v>4995.2606083899991</v>
      </c>
      <c r="K56" s="25">
        <v>4980.9817268699999</v>
      </c>
      <c r="L56" s="25">
        <v>5017.2894921899997</v>
      </c>
      <c r="M56" s="27">
        <v>5214.4280797499996</v>
      </c>
      <c r="N56" s="27">
        <v>5737.8338739700002</v>
      </c>
      <c r="O56" s="118">
        <v>5081.6655977600003</v>
      </c>
      <c r="P56" s="118">
        <v>5207.0690480599997</v>
      </c>
      <c r="Q56" s="118">
        <v>5169.9734776200003</v>
      </c>
      <c r="R56" s="118">
        <v>5152.2890199499998</v>
      </c>
      <c r="S56" s="118">
        <v>5246.5927027600001</v>
      </c>
      <c r="T56" s="118">
        <v>5442.2102460899996</v>
      </c>
      <c r="U56" s="118">
        <v>5433.7353676100001</v>
      </c>
      <c r="V56" s="118">
        <v>5419.3183684100004</v>
      </c>
      <c r="W56" s="118">
        <v>5416.1798199900004</v>
      </c>
      <c r="X56" s="118">
        <v>5488.47010331</v>
      </c>
      <c r="Y56" s="118">
        <v>5356.7015700299999</v>
      </c>
      <c r="Z56" s="118">
        <v>5380.8275805800004</v>
      </c>
      <c r="AA56" s="118">
        <v>5276.1063843600004</v>
      </c>
      <c r="AB56" s="118">
        <v>5281.4368462599996</v>
      </c>
      <c r="AC56" s="118">
        <v>5502.0872965600001</v>
      </c>
      <c r="AD56" s="118">
        <v>5222.4494256999997</v>
      </c>
      <c r="AE56" s="118">
        <v>4961.5469857199996</v>
      </c>
      <c r="AF56" s="118">
        <v>4796.3823929999999</v>
      </c>
      <c r="AG56" s="118">
        <v>4805.6638911199998</v>
      </c>
      <c r="AH56" s="118">
        <v>4702.4570626499999</v>
      </c>
      <c r="AI56" s="118">
        <v>4044.0997570200002</v>
      </c>
      <c r="AJ56" s="118">
        <v>3957.5050966099998</v>
      </c>
      <c r="AK56" s="118">
        <v>4082.8305154300001</v>
      </c>
      <c r="AL56" s="118">
        <v>4211.9362816599996</v>
      </c>
      <c r="AM56" s="118">
        <v>4133.9121266299999</v>
      </c>
      <c r="AN56" s="118">
        <v>4618.2010866299997</v>
      </c>
      <c r="AO56" s="118">
        <v>4469.6895469700003</v>
      </c>
      <c r="AP56" s="118">
        <v>4446.0080612700003</v>
      </c>
      <c r="AQ56" s="118">
        <v>4449.6699245399996</v>
      </c>
      <c r="AR56" s="118">
        <v>4593.85052567</v>
      </c>
      <c r="AS56" s="118">
        <v>4611.7414177800001</v>
      </c>
      <c r="AT56" s="118">
        <v>4790.7471121999997</v>
      </c>
      <c r="AU56" s="118">
        <v>4683.9376950799997</v>
      </c>
      <c r="AV56" s="118">
        <v>4696.8092988400003</v>
      </c>
      <c r="AW56" s="118">
        <v>5129.1292907400002</v>
      </c>
      <c r="AX56" s="118">
        <v>5130.9945978899996</v>
      </c>
      <c r="AY56" s="118">
        <v>5060.1886828300003</v>
      </c>
      <c r="AZ56" s="118">
        <v>5037.6697039000001</v>
      </c>
      <c r="BA56" s="118">
        <v>4508.2742749899999</v>
      </c>
      <c r="BB56" s="118">
        <v>4405.9730682899999</v>
      </c>
      <c r="BC56" s="118">
        <v>213.44016088999999</v>
      </c>
      <c r="BD56" s="118">
        <v>137.87062972000001</v>
      </c>
      <c r="BE56" s="118">
        <v>136.67382099</v>
      </c>
      <c r="BF56" s="118">
        <v>342.59988670000001</v>
      </c>
      <c r="BG56" s="118">
        <v>171.62440354</v>
      </c>
      <c r="BH56" s="118">
        <v>241.00263214</v>
      </c>
      <c r="BI56" s="118">
        <v>159.50105708999999</v>
      </c>
      <c r="BJ56" s="118">
        <v>124.44953135999999</v>
      </c>
      <c r="BK56" s="29">
        <v>137.59036504999997</v>
      </c>
      <c r="BL56" s="118">
        <v>393.53651318999999</v>
      </c>
      <c r="BM56" s="118">
        <v>729.67337458999998</v>
      </c>
      <c r="BN56" s="118">
        <v>777.26661713999999</v>
      </c>
      <c r="BO56" s="118">
        <v>916.02950327999997</v>
      </c>
      <c r="BP56" s="118">
        <v>1022.04052223</v>
      </c>
      <c r="BQ56" s="118">
        <v>998.22948471999996</v>
      </c>
      <c r="BR56" s="118">
        <v>1394.8294765000001</v>
      </c>
      <c r="BS56" s="118">
        <v>1117.61137826</v>
      </c>
      <c r="BT56" s="118">
        <v>1151.70922602</v>
      </c>
      <c r="BU56" s="118">
        <v>1162.95999345</v>
      </c>
      <c r="BV56" s="118">
        <v>995.01549895999995</v>
      </c>
      <c r="BW56" s="118">
        <v>934.97419210999999</v>
      </c>
      <c r="BX56" s="118">
        <v>1131.6853802000001</v>
      </c>
      <c r="BY56" s="118">
        <v>1079.2308420899999</v>
      </c>
      <c r="BZ56" s="118">
        <v>883.09986692999996</v>
      </c>
      <c r="CA56" s="118">
        <v>1094.90446625</v>
      </c>
      <c r="CB56" s="118">
        <v>870.78126775999999</v>
      </c>
      <c r="CC56" s="118">
        <v>830.33056088000001</v>
      </c>
      <c r="CD56" s="118">
        <v>874.89579346000005</v>
      </c>
      <c r="CE56" s="118">
        <v>838.38322011000002</v>
      </c>
      <c r="CF56" s="118">
        <v>881.21429563000004</v>
      </c>
      <c r="CG56" s="118">
        <v>2048.69467055</v>
      </c>
      <c r="CH56" s="118">
        <v>972.65793807</v>
      </c>
      <c r="CI56" s="118">
        <v>897.55882376</v>
      </c>
      <c r="CJ56" s="118">
        <v>1957.5383422</v>
      </c>
      <c r="CK56" s="118">
        <v>830.66956459000005</v>
      </c>
      <c r="CL56" s="118">
        <v>850.20132746000002</v>
      </c>
      <c r="CM56" s="119">
        <v>890.80229516999998</v>
      </c>
      <c r="CN56" s="119">
        <v>892.83263053999997</v>
      </c>
      <c r="CO56" s="119">
        <v>849.74319094999998</v>
      </c>
      <c r="CP56" s="119">
        <v>836.86296517999995</v>
      </c>
      <c r="CQ56" s="119">
        <v>806.24660172999995</v>
      </c>
      <c r="CR56" s="119">
        <v>735.85286676999999</v>
      </c>
      <c r="CS56" s="119">
        <v>758.57942416000003</v>
      </c>
      <c r="CT56" s="119">
        <v>703.15693759999999</v>
      </c>
      <c r="CU56" s="119">
        <v>778.17323394000005</v>
      </c>
      <c r="CV56" s="119">
        <v>937.30813547000002</v>
      </c>
      <c r="CW56" s="119">
        <v>934.62258247</v>
      </c>
      <c r="CX56" s="119">
        <v>1027.07970353</v>
      </c>
      <c r="CY56" s="119">
        <v>1026.82502718</v>
      </c>
      <c r="CZ56" s="119">
        <v>1031.65696108</v>
      </c>
      <c r="DA56" s="119">
        <v>1037.20148681</v>
      </c>
      <c r="DB56" s="119">
        <v>1066.72077885</v>
      </c>
      <c r="DC56" s="119">
        <v>1069.3108578399999</v>
      </c>
      <c r="DD56" s="119">
        <v>1066.6176514799999</v>
      </c>
      <c r="DE56" s="119">
        <v>1071.6348065300001</v>
      </c>
      <c r="DF56" s="119">
        <v>1231.29128236</v>
      </c>
      <c r="DG56" s="119">
        <v>1081.9499207199999</v>
      </c>
    </row>
    <row r="57" spans="1:111" s="113" customFormat="1" x14ac:dyDescent="0.3">
      <c r="A57" s="107" t="s">
        <v>27</v>
      </c>
      <c r="B57" s="120">
        <v>0.96018154209504847</v>
      </c>
      <c r="C57" s="120">
        <v>3.8950225442940343</v>
      </c>
      <c r="D57" s="120">
        <v>4.1160004550422471</v>
      </c>
      <c r="E57" s="120">
        <v>4.0148095745616006</v>
      </c>
      <c r="F57" s="120">
        <v>3.9404303279650637</v>
      </c>
      <c r="G57" s="120">
        <v>3.7502199176672595</v>
      </c>
      <c r="H57" s="120">
        <v>3.5103557004439447</v>
      </c>
      <c r="I57" s="120">
        <v>3.7363675949564223</v>
      </c>
      <c r="J57" s="121">
        <v>3.5398854069228123</v>
      </c>
      <c r="K57" s="108">
        <v>4.1832398403709696</v>
      </c>
      <c r="L57" s="108">
        <v>4.65602528452155</v>
      </c>
      <c r="M57" s="112">
        <v>5.0756588404635501</v>
      </c>
      <c r="N57" s="112">
        <v>5.4551053243650696</v>
      </c>
      <c r="O57" s="112">
        <v>4.6086305543448596</v>
      </c>
      <c r="P57" s="112">
        <v>4.86124154514554</v>
      </c>
      <c r="Q57" s="110">
        <v>4.9805861012929302</v>
      </c>
      <c r="R57" s="110">
        <v>5.1271799430401099</v>
      </c>
      <c r="S57" s="110">
        <v>5.1946411559584202</v>
      </c>
      <c r="T57" s="110">
        <v>5.18616892157495</v>
      </c>
      <c r="U57" s="110">
        <v>4.5378929576359202</v>
      </c>
      <c r="V57" s="110">
        <v>4.5579393029516497</v>
      </c>
      <c r="W57" s="110">
        <v>4.7625713322514303</v>
      </c>
      <c r="X57" s="110">
        <v>5.8224807339353202</v>
      </c>
      <c r="Y57" s="110">
        <v>5.8633728547028996</v>
      </c>
      <c r="Z57" s="110">
        <v>6.4085987124992601</v>
      </c>
      <c r="AA57" s="110">
        <v>4.8068420102934697</v>
      </c>
      <c r="AB57" s="110">
        <v>6.2091455253841197</v>
      </c>
      <c r="AC57" s="110">
        <v>5.8410081225490398</v>
      </c>
      <c r="AD57" s="110">
        <v>5.3471971186064797</v>
      </c>
      <c r="AE57" s="110">
        <v>4.1925675995364298</v>
      </c>
      <c r="AF57" s="110">
        <v>3.4763297022022499</v>
      </c>
      <c r="AG57" s="110">
        <v>3.9211155928806698</v>
      </c>
      <c r="AH57" s="110">
        <v>4.0714454520398702</v>
      </c>
      <c r="AI57" s="110">
        <v>3.5591673931540102</v>
      </c>
      <c r="AJ57" s="110">
        <v>2.9724687490601598</v>
      </c>
      <c r="AK57" s="110">
        <v>3.3512428519845301</v>
      </c>
      <c r="AL57" s="110">
        <v>2.6818424504929399</v>
      </c>
      <c r="AM57" s="110">
        <v>2.3955906557964699</v>
      </c>
      <c r="AN57" s="110">
        <v>2.3109854235196301</v>
      </c>
      <c r="AO57" s="110">
        <v>2.4601348035866901</v>
      </c>
      <c r="AP57" s="110">
        <v>2.3841840143934299</v>
      </c>
      <c r="AQ57" s="110">
        <v>2.4029687201441599</v>
      </c>
      <c r="AR57" s="110">
        <v>2.2198593838313401</v>
      </c>
      <c r="AS57" s="110">
        <v>2.2721364809724101</v>
      </c>
      <c r="AT57" s="110">
        <v>2.2476351918922202</v>
      </c>
      <c r="AU57" s="110">
        <v>2.1401136848061801</v>
      </c>
      <c r="AV57" s="110">
        <v>2.1618944006113701</v>
      </c>
      <c r="AW57" s="110">
        <v>2.8085375626443199</v>
      </c>
      <c r="AX57" s="110">
        <v>2.7023769206640398</v>
      </c>
      <c r="AY57" s="110">
        <v>2.7449398559925999</v>
      </c>
      <c r="AZ57" s="110">
        <v>2.6548903566840099</v>
      </c>
      <c r="BA57" s="110">
        <v>2.2621217443727102</v>
      </c>
      <c r="BB57" s="110">
        <v>2.1263815406168498</v>
      </c>
      <c r="BC57" s="110">
        <v>0.102850541313949</v>
      </c>
      <c r="BD57" s="110">
        <v>6.16898648972109E-2</v>
      </c>
      <c r="BE57" s="110">
        <v>6.2907656728161607E-2</v>
      </c>
      <c r="BF57" s="110">
        <v>0.16189819901467301</v>
      </c>
      <c r="BG57" s="110">
        <v>8.5687711302061306E-2</v>
      </c>
      <c r="BH57" s="110">
        <v>0.118679893232276</v>
      </c>
      <c r="BI57" s="110">
        <v>8.7211309502651199E-2</v>
      </c>
      <c r="BJ57" s="110">
        <v>6.8379585837606394E-2</v>
      </c>
      <c r="BK57" s="112">
        <v>6.9466309772452023E-2</v>
      </c>
      <c r="BL57" s="110">
        <v>0.21298345406998601</v>
      </c>
      <c r="BM57" s="110">
        <v>0.37034432974202802</v>
      </c>
      <c r="BN57" s="110">
        <v>0.40516595061642302</v>
      </c>
      <c r="BO57" s="110">
        <v>0.38581379984422198</v>
      </c>
      <c r="BP57" s="110">
        <v>0.34428271714652298</v>
      </c>
      <c r="BQ57" s="110">
        <v>0.35341111319999002</v>
      </c>
      <c r="BR57" s="110">
        <v>0.49436427126930099</v>
      </c>
      <c r="BS57" s="110">
        <v>0.34844358214343801</v>
      </c>
      <c r="BT57" s="110">
        <v>0.37265527439026502</v>
      </c>
      <c r="BU57" s="110">
        <v>0.35589064222516997</v>
      </c>
      <c r="BV57" s="110">
        <v>0.29408887643911602</v>
      </c>
      <c r="BW57" s="110">
        <v>0.26824580788047803</v>
      </c>
      <c r="BX57" s="110">
        <v>0.32001252881859199</v>
      </c>
      <c r="BY57" s="110">
        <v>0.306528420938736</v>
      </c>
      <c r="BZ57" s="110">
        <v>0.260121802961161</v>
      </c>
      <c r="CA57" s="110">
        <v>0.308490199852617</v>
      </c>
      <c r="CB57" s="110">
        <v>0.24726916932403301</v>
      </c>
      <c r="CC57" s="110">
        <v>0.23726277712049701</v>
      </c>
      <c r="CD57" s="110">
        <v>0.26413117127136598</v>
      </c>
      <c r="CE57" s="110">
        <v>0.25050958949970398</v>
      </c>
      <c r="CF57" s="110">
        <v>0.27598231098527098</v>
      </c>
      <c r="CG57" s="110">
        <v>0.57045622925462203</v>
      </c>
      <c r="CH57" s="110">
        <v>0.28361071308600599</v>
      </c>
      <c r="CI57" s="110">
        <v>0.25818764386687398</v>
      </c>
      <c r="CJ57" s="110">
        <v>0.52820692407746195</v>
      </c>
      <c r="CK57" s="110">
        <v>0.22111298435698501</v>
      </c>
      <c r="CL57" s="110">
        <v>0.21440037056226099</v>
      </c>
      <c r="CM57" s="108">
        <v>0.220747465557602</v>
      </c>
      <c r="CN57" s="108">
        <v>0.22368430096931599</v>
      </c>
      <c r="CO57" s="108">
        <v>0.21188273870154101</v>
      </c>
      <c r="CP57" s="108">
        <v>0.23341636202252999</v>
      </c>
      <c r="CQ57" s="108">
        <v>0.217885000065798</v>
      </c>
      <c r="CR57" s="108">
        <v>0.20562237729935601</v>
      </c>
      <c r="CS57" s="108">
        <v>0.20527358377517901</v>
      </c>
      <c r="CT57" s="108">
        <v>0.17927611405628599</v>
      </c>
      <c r="CU57" s="108">
        <v>0.21061713717827099</v>
      </c>
      <c r="CV57" s="108">
        <v>0.257579692060179</v>
      </c>
      <c r="CW57" s="108">
        <v>0.26013082311353503</v>
      </c>
      <c r="CX57" s="108">
        <v>0.28106562705265298</v>
      </c>
      <c r="CY57" s="108">
        <v>0.30032102922105902</v>
      </c>
      <c r="CZ57" s="108">
        <v>0.28729346199002098</v>
      </c>
      <c r="DA57" s="108">
        <v>0.28700319463412099</v>
      </c>
      <c r="DB57" s="108">
        <v>0.29713420845434602</v>
      </c>
      <c r="DC57" s="108">
        <v>0.30543228877759598</v>
      </c>
      <c r="DD57" s="108">
        <v>0.33844131070655498</v>
      </c>
      <c r="DE57" s="108">
        <v>0.32144319416527001</v>
      </c>
      <c r="DF57" s="108">
        <v>0.34927669906599601</v>
      </c>
      <c r="DG57" s="108">
        <v>0.33207057095960801</v>
      </c>
    </row>
    <row r="58" spans="1:111" x14ac:dyDescent="0.3">
      <c r="A58" s="115" t="s">
        <v>32</v>
      </c>
      <c r="B58" s="105"/>
      <c r="C58" s="105"/>
      <c r="D58" s="105"/>
      <c r="E58" s="105"/>
      <c r="F58" s="105"/>
      <c r="G58" s="105"/>
      <c r="H58" s="105"/>
      <c r="I58" s="105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2"/>
      <c r="AP58" s="102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2"/>
      <c r="BB58" s="102"/>
      <c r="BC58" s="102"/>
      <c r="BD58" s="102"/>
      <c r="BE58" s="102"/>
      <c r="BF58" s="102"/>
      <c r="BG58" s="102"/>
      <c r="BH58" s="102"/>
      <c r="BI58" s="102"/>
      <c r="BJ58" s="102"/>
      <c r="BK58" s="117"/>
      <c r="BL58" s="102"/>
      <c r="BM58" s="102"/>
      <c r="BN58" s="102"/>
      <c r="BO58" s="102"/>
      <c r="BP58" s="102"/>
      <c r="BQ58" s="102"/>
      <c r="BR58" s="102"/>
      <c r="BS58" s="102"/>
      <c r="BT58" s="102"/>
      <c r="BU58" s="102"/>
      <c r="BV58" s="102"/>
      <c r="BW58" s="102"/>
      <c r="BX58" s="102"/>
      <c r="BY58" s="102"/>
      <c r="BZ58" s="102"/>
      <c r="CA58" s="102"/>
      <c r="CB58" s="102"/>
      <c r="CC58" s="102"/>
      <c r="CD58" s="102"/>
      <c r="CE58" s="102"/>
      <c r="CF58" s="102"/>
      <c r="CG58" s="102"/>
      <c r="CH58" s="102"/>
      <c r="CI58" s="102"/>
      <c r="CJ58" s="102"/>
      <c r="CK58" s="102"/>
      <c r="CL58" s="102"/>
      <c r="CM58" s="102"/>
      <c r="CN58" s="102"/>
      <c r="CO58" s="102"/>
      <c r="CP58" s="102"/>
      <c r="CQ58" s="102"/>
      <c r="CR58" s="102"/>
      <c r="CS58" s="102"/>
      <c r="CT58" s="102"/>
      <c r="CU58" s="102"/>
      <c r="CV58" s="102"/>
      <c r="CW58" s="102"/>
      <c r="CX58" s="102"/>
      <c r="CY58" s="102"/>
      <c r="CZ58" s="102"/>
      <c r="DA58" s="102"/>
      <c r="DB58" s="102"/>
      <c r="DC58" s="102"/>
      <c r="DD58" s="102"/>
      <c r="DE58" s="102"/>
      <c r="DF58" s="102"/>
      <c r="DG58" s="102"/>
    </row>
    <row r="59" spans="1:111" s="30" customFormat="1" x14ac:dyDescent="0.3">
      <c r="A59" s="48" t="s">
        <v>32</v>
      </c>
      <c r="B59" s="25">
        <v>73.511547329999999</v>
      </c>
      <c r="C59" s="25">
        <v>19328.586712160002</v>
      </c>
      <c r="D59" s="25">
        <v>21084.531164149997</v>
      </c>
      <c r="E59" s="25">
        <v>55661.796630980003</v>
      </c>
      <c r="F59" s="25">
        <v>55581.956957470014</v>
      </c>
      <c r="G59" s="25">
        <v>50397.713529760003</v>
      </c>
      <c r="H59" s="25">
        <v>49380.353079830013</v>
      </c>
      <c r="I59" s="25">
        <v>51644.383992700008</v>
      </c>
      <c r="J59" s="25">
        <v>50754.124502999985</v>
      </c>
      <c r="K59" s="25">
        <v>51912.776877110002</v>
      </c>
      <c r="L59" s="25">
        <v>52452.269719039999</v>
      </c>
      <c r="M59" s="27">
        <v>56269.17836043</v>
      </c>
      <c r="N59" s="27">
        <v>21781.134967040001</v>
      </c>
      <c r="O59" s="42">
        <v>20247.705726280001</v>
      </c>
      <c r="P59" s="42">
        <v>19392.433957929999</v>
      </c>
      <c r="Q59" s="42">
        <v>19275.146047679998</v>
      </c>
      <c r="R59" s="42">
        <v>18995.71083086</v>
      </c>
      <c r="S59" s="42">
        <v>111.18479558999999</v>
      </c>
      <c r="T59" s="42">
        <v>136.04867811</v>
      </c>
      <c r="U59" s="42">
        <v>159.33000602000001</v>
      </c>
      <c r="V59" s="42">
        <v>123.91860423</v>
      </c>
      <c r="W59" s="42">
        <v>178.63956931999999</v>
      </c>
      <c r="X59" s="42">
        <v>160.41798935</v>
      </c>
      <c r="Y59" s="42">
        <v>317.27167822000001</v>
      </c>
      <c r="Z59" s="42">
        <v>323.36529701000001</v>
      </c>
      <c r="AA59" s="42">
        <v>432.79144968000003</v>
      </c>
      <c r="AB59" s="42">
        <v>433.70705762</v>
      </c>
      <c r="AC59" s="42">
        <v>614.28554211000005</v>
      </c>
      <c r="AD59" s="42">
        <v>610.69943968999996</v>
      </c>
      <c r="AE59" s="42">
        <v>730.03414802999998</v>
      </c>
      <c r="AF59" s="42">
        <v>1145.67513175</v>
      </c>
      <c r="AG59" s="42">
        <v>1031.0226558899999</v>
      </c>
      <c r="AH59" s="42">
        <v>1146.3328946500001</v>
      </c>
      <c r="AI59" s="42">
        <v>853.36475933999998</v>
      </c>
      <c r="AJ59" s="42">
        <v>848.94858978000002</v>
      </c>
      <c r="AK59" s="42">
        <v>894.19518114000005</v>
      </c>
      <c r="AL59" s="42">
        <v>693.13642503000005</v>
      </c>
      <c r="AM59" s="42">
        <v>628.35557951999999</v>
      </c>
      <c r="AN59" s="42">
        <v>630.88066798</v>
      </c>
      <c r="AO59" s="42">
        <v>609.65627708</v>
      </c>
      <c r="AP59" s="42">
        <v>712.73314522999999</v>
      </c>
      <c r="AQ59" s="42">
        <v>633.61164083000006</v>
      </c>
      <c r="AR59" s="42">
        <v>534.93486092000001</v>
      </c>
      <c r="AS59" s="42">
        <v>953.32768180000005</v>
      </c>
      <c r="AT59" s="42">
        <v>801.20649837999997</v>
      </c>
      <c r="AU59" s="42">
        <v>574.06942232999995</v>
      </c>
      <c r="AV59" s="42">
        <v>1231.18996782</v>
      </c>
      <c r="AW59" s="42">
        <v>630.58865723999997</v>
      </c>
      <c r="AX59" s="42">
        <v>958.47991795999997</v>
      </c>
      <c r="AY59" s="42">
        <v>1162.41251132</v>
      </c>
      <c r="AZ59" s="42">
        <v>1826.4372968099999</v>
      </c>
      <c r="BA59" s="42">
        <v>2289.9617008199998</v>
      </c>
      <c r="BB59" s="42">
        <v>2350.6987727699998</v>
      </c>
      <c r="BC59" s="42">
        <v>2352.5349203800001</v>
      </c>
      <c r="BD59" s="42">
        <v>2398.3915875500002</v>
      </c>
      <c r="BE59" s="42">
        <v>2344.19109106</v>
      </c>
      <c r="BF59" s="42">
        <v>2174.39618174</v>
      </c>
      <c r="BG59" s="42">
        <v>2009.8969973599999</v>
      </c>
      <c r="BH59" s="42">
        <v>1374.3088478100001</v>
      </c>
      <c r="BI59" s="42">
        <v>1580.08580381</v>
      </c>
      <c r="BJ59" s="42">
        <v>1871.6162474499999</v>
      </c>
      <c r="BK59" s="28">
        <v>1827.5543950599999</v>
      </c>
      <c r="BL59" s="42">
        <v>1561.51788917</v>
      </c>
      <c r="BM59" s="42">
        <v>1624.0265231999999</v>
      </c>
      <c r="BN59" s="42">
        <v>1508.3308508299999</v>
      </c>
      <c r="BO59" s="42">
        <v>4779.0904776400002</v>
      </c>
      <c r="BP59" s="42">
        <v>4465.8265418399997</v>
      </c>
      <c r="BQ59" s="42">
        <v>4219.2750874100002</v>
      </c>
      <c r="BR59" s="42">
        <v>4619.2420573500003</v>
      </c>
      <c r="BS59" s="42">
        <v>3960.3964095900001</v>
      </c>
      <c r="BT59" s="42">
        <v>4308.0303515400001</v>
      </c>
      <c r="BU59" s="42">
        <v>4104.9085077399995</v>
      </c>
      <c r="BV59" s="42">
        <v>4257.1432808899999</v>
      </c>
      <c r="BW59" s="42">
        <v>3863.9932628500001</v>
      </c>
      <c r="BX59" s="42">
        <v>3734.8718173900002</v>
      </c>
      <c r="BY59" s="42">
        <v>3090.89410073</v>
      </c>
      <c r="BZ59" s="42">
        <v>2574.3491911800002</v>
      </c>
      <c r="CA59" s="42">
        <v>2582.9777483399998</v>
      </c>
      <c r="CB59" s="42">
        <v>2059.5851601999998</v>
      </c>
      <c r="CC59" s="42">
        <v>1648.6845727299999</v>
      </c>
      <c r="CD59" s="42">
        <v>1461.2265875799999</v>
      </c>
      <c r="CE59" s="42">
        <v>1350.7964060199999</v>
      </c>
      <c r="CF59" s="42">
        <v>1155.21170327</v>
      </c>
      <c r="CG59" s="42">
        <v>1204.36726987</v>
      </c>
      <c r="CH59" s="42">
        <v>1097.4961977</v>
      </c>
      <c r="CI59" s="42">
        <v>1089.24251501</v>
      </c>
      <c r="CJ59" s="42">
        <v>819.98982716</v>
      </c>
      <c r="CK59" s="42">
        <v>687.99768010000003</v>
      </c>
      <c r="CL59" s="42">
        <v>590.80730587999994</v>
      </c>
      <c r="CM59" s="46">
        <v>577.82696980000003</v>
      </c>
      <c r="CN59" s="46">
        <v>570.39255270000001</v>
      </c>
      <c r="CO59" s="46">
        <v>493.83680880999998</v>
      </c>
      <c r="CP59" s="46">
        <v>438.69844826000002</v>
      </c>
      <c r="CQ59" s="46">
        <v>395.96101779999998</v>
      </c>
      <c r="CR59" s="46">
        <v>281.09795494000002</v>
      </c>
      <c r="CS59" s="46">
        <v>256.21589485999999</v>
      </c>
      <c r="CT59" s="46">
        <v>365.22384658999999</v>
      </c>
      <c r="CU59" s="46">
        <v>330.51790894999999</v>
      </c>
      <c r="CV59" s="46">
        <v>230.85757032999999</v>
      </c>
      <c r="CW59" s="46">
        <v>157.25539183999999</v>
      </c>
      <c r="CX59" s="46">
        <v>155.53218905</v>
      </c>
      <c r="CY59" s="46">
        <v>102.91103477999999</v>
      </c>
      <c r="CZ59" s="46">
        <v>161.69812852000001</v>
      </c>
      <c r="DA59" s="46">
        <v>106.07322703</v>
      </c>
      <c r="DB59" s="46">
        <v>89.942971610000001</v>
      </c>
      <c r="DC59" s="46">
        <v>119.7672985</v>
      </c>
      <c r="DD59" s="46">
        <v>179.04526005</v>
      </c>
      <c r="DE59" s="46">
        <v>147.04495578999999</v>
      </c>
      <c r="DF59" s="46">
        <v>98.519491900000006</v>
      </c>
      <c r="DG59" s="46">
        <v>157.02201658999999</v>
      </c>
    </row>
    <row r="60" spans="1:111" s="30" customFormat="1" x14ac:dyDescent="0.3">
      <c r="A60" s="31" t="s">
        <v>26</v>
      </c>
      <c r="B60" s="25">
        <v>5.3472929300000001</v>
      </c>
      <c r="C60" s="25">
        <v>11.7596886</v>
      </c>
      <c r="D60" s="25">
        <v>9.8043926799999994</v>
      </c>
      <c r="E60" s="25">
        <v>11.170541059999998</v>
      </c>
      <c r="F60" s="25">
        <v>8.9980686400000014</v>
      </c>
      <c r="G60" s="25">
        <v>5.3568572699999999</v>
      </c>
      <c r="H60" s="25">
        <v>4.8148191499999999</v>
      </c>
      <c r="I60" s="25">
        <v>6.1054936799999995</v>
      </c>
      <c r="J60" s="25">
        <v>3.8682276599999996</v>
      </c>
      <c r="K60" s="25">
        <v>5.9558613999999999</v>
      </c>
      <c r="L60" s="26">
        <v>3.1122629000000002</v>
      </c>
      <c r="M60" s="29">
        <v>2.9609483600000002</v>
      </c>
      <c r="N60" s="29">
        <v>18.15391756</v>
      </c>
      <c r="O60" s="28">
        <v>0.79760182999999996</v>
      </c>
      <c r="P60" s="28">
        <v>1.8784700700000001</v>
      </c>
      <c r="Q60" s="28">
        <v>2.69574815</v>
      </c>
      <c r="R60" s="28">
        <v>6.6508264400000003</v>
      </c>
      <c r="S60" s="28">
        <v>14.71593637</v>
      </c>
      <c r="T60" s="28">
        <v>11.45594717</v>
      </c>
      <c r="U60" s="28">
        <v>10.67892758</v>
      </c>
      <c r="V60" s="28">
        <v>46.679234600000001</v>
      </c>
      <c r="W60" s="28">
        <v>57.258965160000002</v>
      </c>
      <c r="X60" s="28">
        <v>49.624577080000002</v>
      </c>
      <c r="Y60" s="28">
        <v>60.690094809999998</v>
      </c>
      <c r="Z60" s="28">
        <v>71.497019440000003</v>
      </c>
      <c r="AA60" s="28">
        <v>104.18897995</v>
      </c>
      <c r="AB60" s="28">
        <v>106.83224914</v>
      </c>
      <c r="AC60" s="28">
        <v>133.59838178999999</v>
      </c>
      <c r="AD60" s="28">
        <v>137.52792359</v>
      </c>
      <c r="AE60" s="28">
        <v>164.93170975000001</v>
      </c>
      <c r="AF60" s="28">
        <v>188.64184244</v>
      </c>
      <c r="AG60" s="28">
        <v>181.29453429</v>
      </c>
      <c r="AH60" s="28">
        <v>166.7298591</v>
      </c>
      <c r="AI60" s="28">
        <v>120.74058767</v>
      </c>
      <c r="AJ60" s="28">
        <v>84.028126069999999</v>
      </c>
      <c r="AK60" s="28">
        <v>56.48963775</v>
      </c>
      <c r="AL60" s="28">
        <v>51.446489929999998</v>
      </c>
      <c r="AM60" s="28">
        <v>55.438192970000003</v>
      </c>
      <c r="AN60" s="28">
        <v>42.703364720000003</v>
      </c>
      <c r="AO60" s="28">
        <v>0.34937101999999998</v>
      </c>
      <c r="AP60" s="28">
        <v>0.33852251999999999</v>
      </c>
      <c r="AQ60" s="28">
        <v>0.19379647999999999</v>
      </c>
      <c r="AR60" s="28">
        <v>10.663432909999999</v>
      </c>
      <c r="AS60" s="28">
        <v>15.94436116</v>
      </c>
      <c r="AT60" s="28">
        <v>1.4753684899999999</v>
      </c>
      <c r="AU60" s="28">
        <v>13.676547100000001</v>
      </c>
      <c r="AV60" s="28">
        <v>10.68747042</v>
      </c>
      <c r="AW60" s="28">
        <v>1.0996049999999999</v>
      </c>
      <c r="AX60" s="28">
        <v>2.879487E-2</v>
      </c>
      <c r="AY60" s="28">
        <v>0.28056871</v>
      </c>
      <c r="AZ60" s="28">
        <v>1.2761550399999999</v>
      </c>
      <c r="BA60" s="28">
        <v>0.93954629000000001</v>
      </c>
      <c r="BB60" s="28">
        <v>0.96484999999999999</v>
      </c>
      <c r="BC60" s="28">
        <v>1.1340863699999999</v>
      </c>
      <c r="BD60" s="28">
        <v>4.2078959600000001</v>
      </c>
      <c r="BE60" s="28">
        <v>4.2756180300000004</v>
      </c>
      <c r="BF60" s="28">
        <v>4.8905610800000003</v>
      </c>
      <c r="BG60" s="28">
        <v>1.6051414500000001</v>
      </c>
      <c r="BH60" s="28">
        <v>5.9959726900000003</v>
      </c>
      <c r="BI60" s="28">
        <v>2.580466E-2</v>
      </c>
      <c r="BJ60" s="28">
        <v>0.50736000000000003</v>
      </c>
      <c r="BK60" s="29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0.12783992999999999</v>
      </c>
      <c r="BT60" s="28">
        <v>0.17711826</v>
      </c>
      <c r="BU60" s="28">
        <v>0.13144293000000001</v>
      </c>
      <c r="BV60" s="28">
        <v>0.19293711</v>
      </c>
      <c r="BW60" s="28">
        <v>0.36487621999999997</v>
      </c>
      <c r="BX60" s="28">
        <v>0</v>
      </c>
      <c r="BY60" s="28">
        <v>0</v>
      </c>
      <c r="BZ60" s="28">
        <v>0.40492833</v>
      </c>
      <c r="CA60" s="28">
        <v>0.39480405000000002</v>
      </c>
      <c r="CB60" s="28">
        <v>0.45846888000000002</v>
      </c>
      <c r="CC60" s="28">
        <v>0.23280308999999999</v>
      </c>
      <c r="CD60" s="28">
        <v>0.56007728000000001</v>
      </c>
      <c r="CE60" s="28">
        <v>5.2310868299999997</v>
      </c>
      <c r="CF60" s="28">
        <v>1.1707996000000001</v>
      </c>
      <c r="CG60" s="28">
        <v>0.25743147999999999</v>
      </c>
      <c r="CH60" s="28">
        <v>23.941856120000001</v>
      </c>
      <c r="CI60" s="28">
        <v>1.69893111</v>
      </c>
      <c r="CJ60" s="28">
        <v>0.68682228999999995</v>
      </c>
      <c r="CK60" s="28">
        <v>0.23075672999999999</v>
      </c>
      <c r="CL60" s="28">
        <v>0.22859893000000001</v>
      </c>
      <c r="CM60" s="26">
        <v>6.2372844900000004</v>
      </c>
      <c r="CN60" s="26">
        <v>25.185064000000001</v>
      </c>
      <c r="CO60" s="26">
        <v>12.4493923</v>
      </c>
      <c r="CP60" s="26">
        <v>2.6409499999999999E-2</v>
      </c>
      <c r="CQ60" s="26">
        <v>5.2045500000000001E-2</v>
      </c>
      <c r="CR60" s="26">
        <v>1.0506E-2</v>
      </c>
      <c r="CS60" s="26">
        <v>0.13549304000000001</v>
      </c>
      <c r="CT60" s="26">
        <v>1.0983425</v>
      </c>
      <c r="CU60" s="26">
        <v>2.319118</v>
      </c>
      <c r="CV60" s="26">
        <v>2.2227500000000001E-2</v>
      </c>
      <c r="CW60" s="26">
        <v>9.4970499999999999E-2</v>
      </c>
      <c r="CX60" s="26">
        <v>2.4420500000000001E-2</v>
      </c>
      <c r="CY60" s="26">
        <v>0.1061125</v>
      </c>
      <c r="CZ60" s="26">
        <v>2.1783E-2</v>
      </c>
      <c r="DA60" s="26">
        <v>0.414412</v>
      </c>
      <c r="DB60" s="26">
        <v>3.70564976</v>
      </c>
      <c r="DC60" s="26">
        <v>3.18450524</v>
      </c>
      <c r="DD60" s="26">
        <v>32.718508329999999</v>
      </c>
      <c r="DE60" s="26">
        <v>25.923406669999999</v>
      </c>
      <c r="DF60" s="26">
        <v>6.7097164999999999</v>
      </c>
      <c r="DG60" s="26">
        <v>14.4472933</v>
      </c>
    </row>
    <row r="61" spans="1:111" s="113" customFormat="1" x14ac:dyDescent="0.3">
      <c r="A61" s="107" t="s">
        <v>27</v>
      </c>
      <c r="B61" s="108">
        <v>7.2740856698275138</v>
      </c>
      <c r="C61" s="108">
        <v>6.0840912867166565E-2</v>
      </c>
      <c r="D61" s="108">
        <v>4.6500406405385934E-2</v>
      </c>
      <c r="E61" s="108">
        <v>2.0068595942127291E-2</v>
      </c>
      <c r="F61" s="108">
        <v>1.6188830211367168E-2</v>
      </c>
      <c r="G61" s="108">
        <v>1.0629167267353823E-2</v>
      </c>
      <c r="H61" s="108">
        <v>9.7504753402961573E-3</v>
      </c>
      <c r="I61" s="108">
        <v>1.1822183184260688E-2</v>
      </c>
      <c r="J61" s="108">
        <v>7.621504060761319E-3</v>
      </c>
      <c r="K61" s="108">
        <v>1.14728237599367E-2</v>
      </c>
      <c r="L61" s="109">
        <v>5.9335142533789298E-3</v>
      </c>
      <c r="M61" s="110">
        <v>5.2621140849680803E-3</v>
      </c>
      <c r="N61" s="111">
        <v>8.33469770398612E-2</v>
      </c>
      <c r="O61" s="111">
        <v>3.9392207728738996E-3</v>
      </c>
      <c r="P61" s="111">
        <v>9.6866132125299903E-3</v>
      </c>
      <c r="Q61" s="111">
        <v>1.39856172468507E-2</v>
      </c>
      <c r="R61" s="111">
        <v>3.5012253551445001E-2</v>
      </c>
      <c r="S61" s="111">
        <v>13.235565431325499</v>
      </c>
      <c r="T61" s="111">
        <v>8.4204766478785409</v>
      </c>
      <c r="U61" s="111">
        <v>6.7023957675991799</v>
      </c>
      <c r="V61" s="111">
        <v>37.669270800824002</v>
      </c>
      <c r="W61" s="111">
        <v>32.052789523597099</v>
      </c>
      <c r="X61" s="111">
        <v>30.934546232049499</v>
      </c>
      <c r="Y61" s="111">
        <v>19.128746426561499</v>
      </c>
      <c r="Z61" s="111">
        <v>22.110294487719599</v>
      </c>
      <c r="AA61" s="111">
        <v>24.0737149560223</v>
      </c>
      <c r="AB61" s="111">
        <v>24.632352013418899</v>
      </c>
      <c r="AC61" s="111">
        <v>21.748579875590899</v>
      </c>
      <c r="AD61" s="111">
        <v>22.5197396054287</v>
      </c>
      <c r="AE61" s="111">
        <v>22.592328070552401</v>
      </c>
      <c r="AF61" s="111">
        <v>16.465561415464499</v>
      </c>
      <c r="AG61" s="111">
        <v>17.583952520762299</v>
      </c>
      <c r="AH61" s="111">
        <v>14.5446283429654</v>
      </c>
      <c r="AI61" s="111">
        <v>14.148766555978</v>
      </c>
      <c r="AJ61" s="111">
        <v>9.8979051360195296</v>
      </c>
      <c r="AK61" s="111">
        <v>6.3173721958534799</v>
      </c>
      <c r="AL61" s="111">
        <v>7.4222747603797199</v>
      </c>
      <c r="AM61" s="111">
        <v>8.8227422142649203</v>
      </c>
      <c r="AN61" s="111">
        <v>6.7688497821197702</v>
      </c>
      <c r="AO61" s="111">
        <v>5.7306228629899703E-2</v>
      </c>
      <c r="AP61" s="111">
        <v>4.7496390797253901E-2</v>
      </c>
      <c r="AQ61" s="111">
        <v>3.0586003714536601E-2</v>
      </c>
      <c r="AR61" s="111">
        <v>1.99340773784319</v>
      </c>
      <c r="AS61" s="111">
        <v>1.6724953512201699</v>
      </c>
      <c r="AT61" s="111">
        <v>0.184143350432519</v>
      </c>
      <c r="AU61" s="111">
        <v>2.38238557359325</v>
      </c>
      <c r="AV61" s="111">
        <v>0.868060226231677</v>
      </c>
      <c r="AW61" s="111">
        <v>0.17437754190074101</v>
      </c>
      <c r="AX61" s="111">
        <v>3.00422256746768E-3</v>
      </c>
      <c r="AY61" s="111">
        <v>2.41367593059881E-2</v>
      </c>
      <c r="AZ61" s="111">
        <v>6.9871275746990799E-2</v>
      </c>
      <c r="BA61" s="111">
        <v>4.10289084600656E-2</v>
      </c>
      <c r="BB61" s="111">
        <v>4.1045242001085801E-2</v>
      </c>
      <c r="BC61" s="111">
        <v>4.8206994088606903E-2</v>
      </c>
      <c r="BD61" s="111">
        <v>0.17544657769161201</v>
      </c>
      <c r="BE61" s="111">
        <v>0.18239204330678699</v>
      </c>
      <c r="BF61" s="111">
        <v>0.224915823577581</v>
      </c>
      <c r="BG61" s="111">
        <v>7.9861876111480004E-2</v>
      </c>
      <c r="BH61" s="111">
        <v>0.43629004496003598</v>
      </c>
      <c r="BI61" s="111">
        <v>1.6331176406862301E-3</v>
      </c>
      <c r="BJ61" s="111">
        <v>2.7108121159519601E-2</v>
      </c>
      <c r="BK61" s="112">
        <v>0</v>
      </c>
      <c r="BL61" s="111">
        <v>0</v>
      </c>
      <c r="BM61" s="111">
        <v>0</v>
      </c>
      <c r="BN61" s="111">
        <v>0</v>
      </c>
      <c r="BO61" s="111">
        <v>0</v>
      </c>
      <c r="BP61" s="111">
        <v>0</v>
      </c>
      <c r="BQ61" s="111">
        <v>0</v>
      </c>
      <c r="BR61" s="111">
        <v>0</v>
      </c>
      <c r="BS61" s="111">
        <v>3.2279579309394098E-3</v>
      </c>
      <c r="BT61" s="111">
        <v>4.1113512567683098E-3</v>
      </c>
      <c r="BU61" s="111">
        <v>3.2020915874777299E-3</v>
      </c>
      <c r="BV61" s="111">
        <v>4.5320793139869203E-3</v>
      </c>
      <c r="BW61" s="111">
        <v>9.4429828205982707E-3</v>
      </c>
      <c r="BX61" s="111">
        <v>0</v>
      </c>
      <c r="BY61" s="111">
        <v>0</v>
      </c>
      <c r="BZ61" s="111">
        <v>1.57293474944009E-2</v>
      </c>
      <c r="CA61" s="111">
        <v>1.52848413136245E-2</v>
      </c>
      <c r="CB61" s="111">
        <v>2.2260253611240802E-2</v>
      </c>
      <c r="CC61" s="111">
        <v>1.4120535477232601E-2</v>
      </c>
      <c r="CD61" s="111">
        <v>3.8329256034655701E-2</v>
      </c>
      <c r="CE61" s="111">
        <v>0.38725945721257299</v>
      </c>
      <c r="CF61" s="111">
        <v>0.101349354121489</v>
      </c>
      <c r="CG61" s="111">
        <v>2.1374831950372399E-2</v>
      </c>
      <c r="CH61" s="111">
        <v>2.18149786488322</v>
      </c>
      <c r="CI61" s="111">
        <v>0.15597363182104601</v>
      </c>
      <c r="CJ61" s="111">
        <v>8.3759854970247599E-2</v>
      </c>
      <c r="CK61" s="111">
        <v>3.3540335479977097E-2</v>
      </c>
      <c r="CL61" s="111">
        <v>3.8692637637495801E-2</v>
      </c>
      <c r="CM61" s="109">
        <v>1.07943810448288</v>
      </c>
      <c r="CN61" s="109">
        <v>4.4153914494122404</v>
      </c>
      <c r="CO61" s="109">
        <v>2.5209526867791299</v>
      </c>
      <c r="CP61" s="109">
        <v>6.0199665863299497E-3</v>
      </c>
      <c r="CQ61" s="109">
        <v>1.3144096933877501E-2</v>
      </c>
      <c r="CR61" s="109">
        <v>3.7374871696389598E-3</v>
      </c>
      <c r="CS61" s="109">
        <v>5.2882370968450401E-2</v>
      </c>
      <c r="CT61" s="109">
        <v>0.30073132142244802</v>
      </c>
      <c r="CU61" s="109">
        <v>0.70166182745360095</v>
      </c>
      <c r="CV61" s="109">
        <v>9.6282309340026597E-3</v>
      </c>
      <c r="CW61" s="109">
        <v>6.0392523835766501E-2</v>
      </c>
      <c r="CX61" s="109">
        <v>1.5701251393143701E-2</v>
      </c>
      <c r="CY61" s="109">
        <v>0.103110905673861</v>
      </c>
      <c r="CZ61" s="109">
        <v>1.3471398957660599E-2</v>
      </c>
      <c r="DA61" s="109">
        <v>0.39068482368580598</v>
      </c>
      <c r="DB61" s="109">
        <v>4.1199992547144202</v>
      </c>
      <c r="DC61" s="109">
        <v>2.6589104704570099</v>
      </c>
      <c r="DD61" s="109">
        <v>18.273875734472401</v>
      </c>
      <c r="DE61" s="109">
        <v>17.629579015972599</v>
      </c>
      <c r="DF61" s="109">
        <v>6.8105472029946599</v>
      </c>
      <c r="DG61" s="109">
        <v>9.2008073859625092</v>
      </c>
    </row>
    <row r="62" spans="1:111" x14ac:dyDescent="0.3">
      <c r="B62" s="2"/>
      <c r="C62" s="2"/>
      <c r="D62" s="2"/>
      <c r="E62" s="122"/>
      <c r="F62" s="2"/>
      <c r="G62" s="2"/>
      <c r="H62" s="2"/>
      <c r="I62" s="122"/>
      <c r="J62" s="2"/>
      <c r="K62" s="2"/>
      <c r="L62" s="2"/>
      <c r="BK62" s="117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</row>
    <row r="63" spans="1:111" s="55" customFormat="1" ht="28.8" x14ac:dyDescent="0.3">
      <c r="A63" s="123" t="s">
        <v>33</v>
      </c>
      <c r="B63" s="124">
        <v>1135070.5637215446</v>
      </c>
      <c r="C63" s="124">
        <v>1596518.7280848306</v>
      </c>
      <c r="D63" s="124">
        <v>1642275.7615232223</v>
      </c>
      <c r="E63" s="124">
        <v>1641945.3009656561</v>
      </c>
      <c r="F63" s="124">
        <v>1656173.0584997525</v>
      </c>
      <c r="G63" s="124">
        <v>1649072.3677358858</v>
      </c>
      <c r="H63" s="124">
        <v>1667860.2087939971</v>
      </c>
      <c r="I63" s="124">
        <v>1653420.2690853621</v>
      </c>
      <c r="J63" s="124">
        <v>1687627.2959855702</v>
      </c>
      <c r="K63" s="124">
        <v>1687175.23860273</v>
      </c>
      <c r="L63" s="124">
        <v>1685710.20736109</v>
      </c>
      <c r="M63" s="124">
        <v>1765950.9674041099</v>
      </c>
      <c r="N63" s="124">
        <v>1791337.4514814301</v>
      </c>
      <c r="O63" s="124">
        <v>1773676.6223985199</v>
      </c>
      <c r="P63" s="124">
        <v>1780844.92036207</v>
      </c>
      <c r="Q63" s="124">
        <v>1783032.7884105199</v>
      </c>
      <c r="R63" s="124">
        <v>1792158.3785172901</v>
      </c>
      <c r="S63" s="124">
        <v>1793597.2457131799</v>
      </c>
      <c r="T63" s="124">
        <v>1822825.28481743</v>
      </c>
      <c r="U63" s="124">
        <v>1865181.2863447301</v>
      </c>
      <c r="V63" s="124">
        <v>1893653.6495526901</v>
      </c>
      <c r="W63" s="124">
        <v>1888129.46768679</v>
      </c>
      <c r="X63" s="124">
        <v>1866637.91153149</v>
      </c>
      <c r="Y63" s="124">
        <v>1860500.74683194</v>
      </c>
      <c r="Z63" s="124">
        <v>1868616.50109758</v>
      </c>
      <c r="AA63" s="124">
        <v>1852481.7591975799</v>
      </c>
      <c r="AB63" s="124">
        <v>1842006.4200069699</v>
      </c>
      <c r="AC63" s="124">
        <v>1814337.0896371</v>
      </c>
      <c r="AD63" s="124">
        <v>1811313.84723601</v>
      </c>
      <c r="AE63" s="124">
        <v>1809711.3863250699</v>
      </c>
      <c r="AF63" s="124">
        <v>1817901.0215928</v>
      </c>
      <c r="AG63" s="124">
        <v>1825142.91955837</v>
      </c>
      <c r="AH63" s="124">
        <v>1799142.9372914</v>
      </c>
      <c r="AI63" s="124">
        <v>1832668.81020681</v>
      </c>
      <c r="AJ63" s="124">
        <v>1827861.4739265</v>
      </c>
      <c r="AK63" s="124">
        <v>1879323.33611273</v>
      </c>
      <c r="AL63" s="124">
        <v>1950218.8536446199</v>
      </c>
      <c r="AM63" s="124">
        <v>1939112.98308939</v>
      </c>
      <c r="AN63" s="124">
        <v>2015509.3352615</v>
      </c>
      <c r="AO63" s="124">
        <v>1994990.4694247199</v>
      </c>
      <c r="AP63" s="124">
        <v>2022349.8543135501</v>
      </c>
      <c r="AQ63" s="124">
        <v>1997660.0678195499</v>
      </c>
      <c r="AR63" s="124">
        <v>2064566.40314196</v>
      </c>
      <c r="AS63" s="124">
        <v>2067034.5115820901</v>
      </c>
      <c r="AT63" s="124">
        <v>2089861.5008622601</v>
      </c>
      <c r="AU63" s="124">
        <v>2085015.34309309</v>
      </c>
      <c r="AV63" s="124">
        <v>2073404.4301175401</v>
      </c>
      <c r="AW63" s="124">
        <v>2117881.98693508</v>
      </c>
      <c r="AX63" s="124">
        <v>2121028.57452458</v>
      </c>
      <c r="AY63" s="124">
        <v>2119995.5538183101</v>
      </c>
      <c r="AZ63" s="124">
        <v>2131619.62783289</v>
      </c>
      <c r="BA63" s="124">
        <v>2153234.4442940801</v>
      </c>
      <c r="BB63" s="124">
        <v>2160508.4621422901</v>
      </c>
      <c r="BC63" s="124">
        <v>2162157.44723813</v>
      </c>
      <c r="BD63" s="124">
        <v>2169614.6203653701</v>
      </c>
      <c r="BE63" s="124">
        <v>2153802.1953362199</v>
      </c>
      <c r="BF63" s="124">
        <v>2172133.4839763199</v>
      </c>
      <c r="BG63" s="124">
        <v>2187433.05472686</v>
      </c>
      <c r="BH63" s="124">
        <v>2199785.1546235499</v>
      </c>
      <c r="BI63" s="124">
        <v>2268206.6204356798</v>
      </c>
      <c r="BJ63" s="124">
        <v>2259869.16925814</v>
      </c>
      <c r="BK63" s="125">
        <v>2192188.7560257739</v>
      </c>
      <c r="BL63" s="124">
        <v>2166871.9480918101</v>
      </c>
      <c r="BM63" s="124">
        <v>2213517.4697153</v>
      </c>
      <c r="BN63" s="124">
        <v>2221661.8528180099</v>
      </c>
      <c r="BO63" s="124">
        <v>2267447.6355365301</v>
      </c>
      <c r="BP63" s="124">
        <v>2428916.64023514</v>
      </c>
      <c r="BQ63" s="124">
        <v>2422536.68481699</v>
      </c>
      <c r="BR63" s="124">
        <v>2452299.3112645498</v>
      </c>
      <c r="BS63" s="124">
        <v>2532346.8869646098</v>
      </c>
      <c r="BT63" s="124">
        <v>2562482.79764813</v>
      </c>
      <c r="BU63" s="124">
        <v>2645974.6789238099</v>
      </c>
      <c r="BV63" s="124">
        <v>2665104.1121648801</v>
      </c>
      <c r="BW63" s="124">
        <v>2706253.6491653398</v>
      </c>
      <c r="BX63" s="124">
        <v>2743299.35847393</v>
      </c>
      <c r="BY63" s="124">
        <v>2797543.4175921199</v>
      </c>
      <c r="BZ63" s="124">
        <v>2804416.48553936</v>
      </c>
      <c r="CA63" s="124">
        <v>2871013.3417824102</v>
      </c>
      <c r="CB63" s="124">
        <v>2927487.9928223798</v>
      </c>
      <c r="CC63" s="124">
        <v>2933733.7135657002</v>
      </c>
      <c r="CD63" s="124">
        <v>2958146.1198875899</v>
      </c>
      <c r="CE63" s="124">
        <v>2986064.6398518202</v>
      </c>
      <c r="CF63" s="124">
        <v>3052402.71749241</v>
      </c>
      <c r="CG63" s="124">
        <v>3236008.3034728402</v>
      </c>
      <c r="CH63" s="124">
        <v>3187470.5338388002</v>
      </c>
      <c r="CI63" s="124">
        <v>3195069.9301513201</v>
      </c>
      <c r="CJ63" s="124">
        <v>3255437.7829982601</v>
      </c>
      <c r="CK63" s="124">
        <v>3303698.7697789101</v>
      </c>
      <c r="CL63" s="124">
        <v>3355914.3115380299</v>
      </c>
      <c r="CM63" s="124">
        <v>3401124.4034510399</v>
      </c>
      <c r="CN63" s="124">
        <v>3425050.01994474</v>
      </c>
      <c r="CO63" s="124">
        <v>3433316.62194337</v>
      </c>
      <c r="CP63" s="124">
        <v>3445449.7517882301</v>
      </c>
      <c r="CQ63" s="124">
        <v>3491180.0390876699</v>
      </c>
      <c r="CR63" s="124">
        <v>3522751.1094399202</v>
      </c>
      <c r="CS63" s="124">
        <v>3637101.8103289302</v>
      </c>
      <c r="CT63" s="124">
        <v>3607667.1998056499</v>
      </c>
      <c r="CU63" s="124">
        <v>3640687.72276454</v>
      </c>
      <c r="CV63" s="124">
        <v>3618821.73683787</v>
      </c>
      <c r="CW63" s="124">
        <v>3704009.8800012898</v>
      </c>
      <c r="CX63" s="124">
        <v>3695778.4155512499</v>
      </c>
      <c r="CY63" s="124">
        <v>3718908.5503422902</v>
      </c>
      <c r="CZ63" s="124">
        <v>3730822.5398266399</v>
      </c>
      <c r="DA63" s="124">
        <v>3755021.5141663402</v>
      </c>
      <c r="DB63" s="124">
        <v>3795776.0179376402</v>
      </c>
      <c r="DC63" s="124">
        <v>3881309.2248270502</v>
      </c>
      <c r="DD63" s="124">
        <v>3930286.0432052799</v>
      </c>
      <c r="DE63" s="124">
        <v>3986198.2113827099</v>
      </c>
      <c r="DF63" s="124">
        <v>3975033.85739617</v>
      </c>
      <c r="DG63" s="124">
        <v>4004334.8935245099</v>
      </c>
    </row>
    <row r="64" spans="1:111" s="30" customFormat="1" x14ac:dyDescent="0.3">
      <c r="A64" s="126" t="s">
        <v>34</v>
      </c>
      <c r="B64" s="127">
        <v>144693.80388924654</v>
      </c>
      <c r="C64" s="127">
        <v>170470.96973963891</v>
      </c>
      <c r="D64" s="127">
        <v>141489.4439421373</v>
      </c>
      <c r="E64" s="127">
        <v>111599.82373955398</v>
      </c>
      <c r="F64" s="127">
        <v>112141.44070962696</v>
      </c>
      <c r="G64" s="127">
        <v>113513.13545006435</v>
      </c>
      <c r="H64" s="127">
        <v>118020.02338464238</v>
      </c>
      <c r="I64" s="127">
        <v>113914.36923789771</v>
      </c>
      <c r="J64" s="127">
        <v>111991.08272777963</v>
      </c>
      <c r="K64" s="127">
        <v>112282.69761336999</v>
      </c>
      <c r="L64" s="127">
        <v>117446.53961830999</v>
      </c>
      <c r="M64" s="128">
        <v>110086.04877433</v>
      </c>
      <c r="N64" s="128">
        <v>93615.700648200494</v>
      </c>
      <c r="O64" s="128">
        <v>91895.958826159796</v>
      </c>
      <c r="P64" s="128">
        <v>88827.271532030107</v>
      </c>
      <c r="Q64" s="128">
        <v>95884.325286610096</v>
      </c>
      <c r="R64" s="128">
        <v>90205.386262190106</v>
      </c>
      <c r="S64" s="128">
        <v>84842.192983910194</v>
      </c>
      <c r="T64" s="128">
        <v>77507.970572449995</v>
      </c>
      <c r="U64" s="128">
        <v>87337.191050910202</v>
      </c>
      <c r="V64" s="128">
        <v>79896.087098920005</v>
      </c>
      <c r="W64" s="128">
        <v>76467.357916410096</v>
      </c>
      <c r="X64" s="128">
        <v>74980.574538749905</v>
      </c>
      <c r="Y64" s="128">
        <v>74687.3448173301</v>
      </c>
      <c r="Z64" s="128">
        <v>68400.477919569705</v>
      </c>
      <c r="AA64" s="128">
        <v>67092.049612590301</v>
      </c>
      <c r="AB64" s="128">
        <v>68427.593723079903</v>
      </c>
      <c r="AC64" s="128">
        <v>86153.490660930096</v>
      </c>
      <c r="AD64" s="128">
        <v>69132.704028609907</v>
      </c>
      <c r="AE64" s="128">
        <v>82478.180883299996</v>
      </c>
      <c r="AF64" s="128">
        <v>76104.9308309599</v>
      </c>
      <c r="AG64" s="128">
        <v>74277.341852290599</v>
      </c>
      <c r="AH64" s="128">
        <v>77201.393065579905</v>
      </c>
      <c r="AI64" s="128">
        <v>75293.154060969406</v>
      </c>
      <c r="AJ64" s="128">
        <v>77618.959938300104</v>
      </c>
      <c r="AK64" s="128">
        <v>103305.03688189</v>
      </c>
      <c r="AL64" s="128">
        <v>82884.378710190504</v>
      </c>
      <c r="AM64" s="128">
        <v>93191.338852510104</v>
      </c>
      <c r="AN64" s="128">
        <v>80499.3958125801</v>
      </c>
      <c r="AO64" s="128">
        <v>83045.298544070203</v>
      </c>
      <c r="AP64" s="128">
        <v>91845.148821249604</v>
      </c>
      <c r="AQ64" s="128">
        <v>92769.417315629995</v>
      </c>
      <c r="AR64" s="128">
        <v>91591.834435559795</v>
      </c>
      <c r="AS64" s="128">
        <v>97033.310836499804</v>
      </c>
      <c r="AT64" s="128">
        <v>82353.577330879605</v>
      </c>
      <c r="AU64" s="128">
        <v>81510.940328520504</v>
      </c>
      <c r="AV64" s="128">
        <v>85530.501321729302</v>
      </c>
      <c r="AW64" s="128">
        <v>92765.495341570102</v>
      </c>
      <c r="AX64" s="128">
        <v>85621.616708779693</v>
      </c>
      <c r="AY64" s="128">
        <v>90175.988769429707</v>
      </c>
      <c r="AZ64" s="128">
        <v>82697.957714660093</v>
      </c>
      <c r="BA64" s="128">
        <v>89737.909641579696</v>
      </c>
      <c r="BB64" s="128">
        <v>88142.243398730207</v>
      </c>
      <c r="BC64" s="128">
        <v>87234.885723539206</v>
      </c>
      <c r="BD64" s="128">
        <v>89777.245857399903</v>
      </c>
      <c r="BE64" s="128">
        <v>94003.753977720204</v>
      </c>
      <c r="BF64" s="128">
        <v>89695.304135089697</v>
      </c>
      <c r="BG64" s="128">
        <v>88153.665940470499</v>
      </c>
      <c r="BH64" s="128">
        <v>90521.734112010294</v>
      </c>
      <c r="BI64" s="128">
        <v>90775.710259339801</v>
      </c>
      <c r="BJ64" s="128">
        <v>83745.950257720004</v>
      </c>
      <c r="BK64" s="106">
        <v>69214.760058776214</v>
      </c>
      <c r="BL64" s="128">
        <v>86481.612714020099</v>
      </c>
      <c r="BM64" s="128">
        <v>79231.732990409699</v>
      </c>
      <c r="BN64" s="128">
        <v>76747.082355210106</v>
      </c>
      <c r="BO64" s="128">
        <v>70572.0081386198</v>
      </c>
      <c r="BP64" s="128">
        <v>105670.08338965999</v>
      </c>
      <c r="BQ64" s="128">
        <v>97752.020572710797</v>
      </c>
      <c r="BR64" s="128">
        <v>85214.752432429697</v>
      </c>
      <c r="BS64" s="128">
        <v>68947.651065560101</v>
      </c>
      <c r="BT64" s="128">
        <v>62841.819795589901</v>
      </c>
      <c r="BU64" s="128">
        <v>70908.086318219997</v>
      </c>
      <c r="BV64" s="128">
        <v>69947.576098989695</v>
      </c>
      <c r="BW64" s="128">
        <v>63300.977762739603</v>
      </c>
      <c r="BX64" s="128">
        <v>52163.271896079597</v>
      </c>
      <c r="BY64" s="128">
        <v>59613.272350339699</v>
      </c>
      <c r="BZ64" s="128">
        <v>54970.731332579599</v>
      </c>
      <c r="CA64" s="128">
        <v>53809.070717460498</v>
      </c>
      <c r="CB64" s="128">
        <v>54734.958717950598</v>
      </c>
      <c r="CC64" s="128">
        <v>49602.867131470703</v>
      </c>
      <c r="CD64" s="128">
        <v>46916.271753859699</v>
      </c>
      <c r="CE64" s="128">
        <v>48712.918634340203</v>
      </c>
      <c r="CF64" s="128">
        <v>55364.274821129598</v>
      </c>
      <c r="CG64" s="128">
        <v>72612.827314480193</v>
      </c>
      <c r="CH64" s="128">
        <v>77376.610148860098</v>
      </c>
      <c r="CI64" s="128">
        <v>87308.966580660097</v>
      </c>
      <c r="CJ64" s="128">
        <v>94361.309741460296</v>
      </c>
      <c r="CK64" s="128">
        <v>75497.349750779598</v>
      </c>
      <c r="CL64" s="128">
        <v>77153.071681560497</v>
      </c>
      <c r="CM64" s="127">
        <v>90336.889228569795</v>
      </c>
      <c r="CN64" s="127">
        <v>84644.1948211407</v>
      </c>
      <c r="CO64" s="127">
        <v>94246.100192660495</v>
      </c>
      <c r="CP64" s="127">
        <v>101129.04232394999</v>
      </c>
      <c r="CQ64" s="127">
        <v>102217.67755896</v>
      </c>
      <c r="CR64" s="127">
        <v>107972.526715039</v>
      </c>
      <c r="CS64" s="127">
        <v>139043.01788162999</v>
      </c>
      <c r="CT64" s="127">
        <v>130352.684221289</v>
      </c>
      <c r="CU64" s="127">
        <v>122541.45404385999</v>
      </c>
      <c r="CV64" s="127">
        <v>127380.49794902001</v>
      </c>
      <c r="CW64" s="127">
        <v>119204.272834401</v>
      </c>
      <c r="CX64" s="127">
        <v>133388.90661144999</v>
      </c>
      <c r="CY64" s="127">
        <v>138396.739095511</v>
      </c>
      <c r="CZ64" s="127">
        <v>138726.13300237001</v>
      </c>
      <c r="DA64" s="127">
        <v>151741.75604112999</v>
      </c>
      <c r="DB64" s="127">
        <v>157784.07109503899</v>
      </c>
      <c r="DC64" s="127">
        <v>149964.54925164001</v>
      </c>
      <c r="DD64" s="127">
        <v>157161.37446391</v>
      </c>
      <c r="DE64" s="127">
        <v>195150.35663152</v>
      </c>
      <c r="DF64" s="127">
        <v>175947.38068636</v>
      </c>
      <c r="DG64" s="127">
        <v>182147.738914541</v>
      </c>
    </row>
    <row r="65" spans="1:111" x14ac:dyDescent="0.3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BK65" s="130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</row>
    <row r="66" spans="1:111" s="30" customFormat="1" x14ac:dyDescent="0.3">
      <c r="A66" s="131" t="s">
        <v>35</v>
      </c>
      <c r="B66" s="51">
        <v>1279764.367610791</v>
      </c>
      <c r="C66" s="51">
        <v>1766989.6978244695</v>
      </c>
      <c r="D66" s="51">
        <v>1783765.2054653596</v>
      </c>
      <c r="E66" s="51">
        <v>1753545.1247052101</v>
      </c>
      <c r="F66" s="51">
        <v>1768314.4992093795</v>
      </c>
      <c r="G66" s="51">
        <v>1762585.5031859502</v>
      </c>
      <c r="H66" s="51">
        <v>1785880.2321786394</v>
      </c>
      <c r="I66" s="51">
        <v>1767334.6383232598</v>
      </c>
      <c r="J66" s="51">
        <v>1799618.3787133498</v>
      </c>
      <c r="K66" s="51">
        <v>1799457.9362160999</v>
      </c>
      <c r="L66" s="51">
        <v>1803156.7469794</v>
      </c>
      <c r="M66" s="50">
        <v>1876037.0161784401</v>
      </c>
      <c r="N66" s="50">
        <v>1884953.1521296301</v>
      </c>
      <c r="O66" s="50">
        <v>1865572.5812246799</v>
      </c>
      <c r="P66" s="50">
        <v>1869672.1918941</v>
      </c>
      <c r="Q66" s="50">
        <v>1878917.11369713</v>
      </c>
      <c r="R66" s="50">
        <v>1882363.7647794799</v>
      </c>
      <c r="S66" s="50">
        <v>1878439.4386970899</v>
      </c>
      <c r="T66" s="50">
        <v>1900333.2553898799</v>
      </c>
      <c r="U66" s="50">
        <v>1952518.47739564</v>
      </c>
      <c r="V66" s="50">
        <v>1973549.7366516099</v>
      </c>
      <c r="W66" s="50">
        <v>1964596.8256031999</v>
      </c>
      <c r="X66" s="50">
        <v>1941618.4860702399</v>
      </c>
      <c r="Y66" s="50">
        <v>1935188.0916492699</v>
      </c>
      <c r="Z66" s="50">
        <v>1937016.9790171499</v>
      </c>
      <c r="AA66" s="50">
        <v>1919573.80881017</v>
      </c>
      <c r="AB66" s="50">
        <v>1910434.0137300501</v>
      </c>
      <c r="AC66" s="50">
        <v>1900490.5802980301</v>
      </c>
      <c r="AD66" s="50">
        <v>1880446.5512646199</v>
      </c>
      <c r="AE66" s="50">
        <v>1892189.56720837</v>
      </c>
      <c r="AF66" s="50">
        <v>1894005.95242376</v>
      </c>
      <c r="AG66" s="50">
        <v>1899420.2614106601</v>
      </c>
      <c r="AH66" s="50">
        <v>1876344.33035698</v>
      </c>
      <c r="AI66" s="50">
        <v>1907961.9642677801</v>
      </c>
      <c r="AJ66" s="50">
        <v>1905480.4338648</v>
      </c>
      <c r="AK66" s="50">
        <v>1982628.3729946199</v>
      </c>
      <c r="AL66" s="50">
        <v>2033103.23235481</v>
      </c>
      <c r="AM66" s="50">
        <v>2032304.3219419001</v>
      </c>
      <c r="AN66" s="50">
        <v>2096008.7310740801</v>
      </c>
      <c r="AO66" s="50">
        <v>2078035.7679687899</v>
      </c>
      <c r="AP66" s="50">
        <v>2114195.0031348001</v>
      </c>
      <c r="AQ66" s="50">
        <v>2090429.4851351799</v>
      </c>
      <c r="AR66" s="50">
        <v>2156158.2375775198</v>
      </c>
      <c r="AS66" s="50">
        <v>2164067.8224185901</v>
      </c>
      <c r="AT66" s="50">
        <v>2172215.0781931402</v>
      </c>
      <c r="AU66" s="50">
        <v>2166526.28342161</v>
      </c>
      <c r="AV66" s="50">
        <v>2158934.9314392698</v>
      </c>
      <c r="AW66" s="50">
        <v>2210647.4822766501</v>
      </c>
      <c r="AX66" s="50">
        <v>2206650.1912333602</v>
      </c>
      <c r="AY66" s="50">
        <v>2210171.5425877399</v>
      </c>
      <c r="AZ66" s="50">
        <v>2214317.5855475501</v>
      </c>
      <c r="BA66" s="50">
        <v>2242972.3539356599</v>
      </c>
      <c r="BB66" s="50">
        <v>2248650.7055410198</v>
      </c>
      <c r="BC66" s="50">
        <v>2249392.3329616701</v>
      </c>
      <c r="BD66" s="50">
        <v>2259391.86622277</v>
      </c>
      <c r="BE66" s="50">
        <v>2247805.94931394</v>
      </c>
      <c r="BF66" s="50">
        <v>2261828.7881114101</v>
      </c>
      <c r="BG66" s="50">
        <v>2275586.7206673301</v>
      </c>
      <c r="BH66" s="50">
        <v>2290306.8887355598</v>
      </c>
      <c r="BI66" s="50">
        <v>2358982.33069502</v>
      </c>
      <c r="BJ66" s="50">
        <v>2343615.11951586</v>
      </c>
      <c r="BK66" s="50">
        <v>2261403.5160845499</v>
      </c>
      <c r="BL66" s="50">
        <v>2253353.5608058302</v>
      </c>
      <c r="BM66" s="50">
        <v>2292749.2027057102</v>
      </c>
      <c r="BN66" s="50">
        <v>2298408.93517322</v>
      </c>
      <c r="BO66" s="50">
        <v>2338019.6436751499</v>
      </c>
      <c r="BP66" s="50">
        <v>2534586.7236247999</v>
      </c>
      <c r="BQ66" s="50">
        <v>2520288.7053896999</v>
      </c>
      <c r="BR66" s="50">
        <v>2537514.06369698</v>
      </c>
      <c r="BS66" s="50">
        <v>2601294.5380301699</v>
      </c>
      <c r="BT66" s="50">
        <v>2625324.6174437199</v>
      </c>
      <c r="BU66" s="50">
        <v>2716882.7652420299</v>
      </c>
      <c r="BV66" s="50">
        <v>2735051.6882638698</v>
      </c>
      <c r="BW66" s="50">
        <v>2769554.6269280799</v>
      </c>
      <c r="BX66" s="50">
        <v>2795462.6303700102</v>
      </c>
      <c r="BY66" s="50">
        <v>2857156.68994246</v>
      </c>
      <c r="BZ66" s="50">
        <v>2859387.2168719401</v>
      </c>
      <c r="CA66" s="50">
        <v>2924822.4124998702</v>
      </c>
      <c r="CB66" s="50">
        <v>2982222.95154033</v>
      </c>
      <c r="CC66" s="50">
        <v>2983336.58069717</v>
      </c>
      <c r="CD66" s="50">
        <v>3005062.3916414501</v>
      </c>
      <c r="CE66" s="50">
        <v>3034777.5584861599</v>
      </c>
      <c r="CF66" s="50">
        <v>3107766.9923135401</v>
      </c>
      <c r="CG66" s="50">
        <v>3308621.13078732</v>
      </c>
      <c r="CH66" s="50">
        <v>3264847.1439876598</v>
      </c>
      <c r="CI66" s="50">
        <v>3282378.8967319801</v>
      </c>
      <c r="CJ66" s="50">
        <v>3349799.0927397199</v>
      </c>
      <c r="CK66" s="50">
        <v>3379196.1195296901</v>
      </c>
      <c r="CL66" s="50">
        <v>3433067.3832195899</v>
      </c>
      <c r="CM66" s="51">
        <v>3491461.2926796102</v>
      </c>
      <c r="CN66" s="51">
        <v>3509694.2147658798</v>
      </c>
      <c r="CO66" s="51">
        <v>3527562.72213603</v>
      </c>
      <c r="CP66" s="51">
        <v>3546578.7941121799</v>
      </c>
      <c r="CQ66" s="51">
        <v>3593397.7166466299</v>
      </c>
      <c r="CR66" s="51">
        <v>3630723.6361549599</v>
      </c>
      <c r="CS66" s="51">
        <v>3776144.8282105601</v>
      </c>
      <c r="CT66" s="51">
        <v>3738019.88402694</v>
      </c>
      <c r="CU66" s="51">
        <v>3763229.1768084001</v>
      </c>
      <c r="CV66" s="51">
        <v>3746202.23478689</v>
      </c>
      <c r="CW66" s="51">
        <v>3823214.15283569</v>
      </c>
      <c r="CX66" s="51">
        <v>3829167.3221626999</v>
      </c>
      <c r="CY66" s="51">
        <v>3857305.2894378002</v>
      </c>
      <c r="CZ66" s="51">
        <v>3869548.6728290101</v>
      </c>
      <c r="DA66" s="51">
        <v>3906763.2702074698</v>
      </c>
      <c r="DB66" s="51">
        <v>3953560.0890326798</v>
      </c>
      <c r="DC66" s="51">
        <v>4031273.77407869</v>
      </c>
      <c r="DD66" s="51">
        <v>4087447.4176691901</v>
      </c>
      <c r="DE66" s="51">
        <v>4181348.5680142301</v>
      </c>
      <c r="DF66" s="51">
        <v>4150981.23808253</v>
      </c>
      <c r="DG66" s="51">
        <v>4186482.6324390499</v>
      </c>
    </row>
    <row r="67" spans="1:111" s="30" customFormat="1" x14ac:dyDescent="0.3">
      <c r="A67" s="132" t="s">
        <v>26</v>
      </c>
      <c r="B67" s="80">
        <v>456202.42765723006</v>
      </c>
      <c r="C67" s="80">
        <v>601905.53557697986</v>
      </c>
      <c r="D67" s="80">
        <v>593590.30444713961</v>
      </c>
      <c r="E67" s="80">
        <v>593387.91928885924</v>
      </c>
      <c r="F67" s="80">
        <v>597963.03078400006</v>
      </c>
      <c r="G67" s="80">
        <v>612289.10481044988</v>
      </c>
      <c r="H67" s="80">
        <v>617056.54358299018</v>
      </c>
      <c r="I67" s="80">
        <v>607674.97566971998</v>
      </c>
      <c r="J67" s="78">
        <v>613891.68572045001</v>
      </c>
      <c r="K67" s="78">
        <v>614404.78004733997</v>
      </c>
      <c r="L67" s="78">
        <v>606249.56481144996</v>
      </c>
      <c r="M67" s="77">
        <v>613862.52739516005</v>
      </c>
      <c r="N67" s="77">
        <v>658300.02113950998</v>
      </c>
      <c r="O67" s="77">
        <v>644074.58504557004</v>
      </c>
      <c r="P67" s="77">
        <v>649367.06996151002</v>
      </c>
      <c r="Q67" s="77">
        <v>647220.85444578005</v>
      </c>
      <c r="R67" s="77">
        <v>646946.74881706003</v>
      </c>
      <c r="S67" s="77">
        <v>644741.50177266996</v>
      </c>
      <c r="T67" s="77">
        <v>650167.19880917994</v>
      </c>
      <c r="U67" s="77">
        <v>675197.26855012996</v>
      </c>
      <c r="V67" s="77">
        <v>682222.05576913001</v>
      </c>
      <c r="W67" s="77">
        <v>685658.07637897006</v>
      </c>
      <c r="X67" s="77">
        <v>683601.90795502998</v>
      </c>
      <c r="Y67" s="77">
        <v>649851.85351314</v>
      </c>
      <c r="Z67" s="77">
        <v>651911.95645977999</v>
      </c>
      <c r="AA67" s="77">
        <v>626648.22173798003</v>
      </c>
      <c r="AB67" s="77">
        <v>630005.39653527003</v>
      </c>
      <c r="AC67" s="77">
        <v>618691.98758252</v>
      </c>
      <c r="AD67" s="77">
        <v>607763.46499954001</v>
      </c>
      <c r="AE67" s="77">
        <v>600039.73675195</v>
      </c>
      <c r="AF67" s="77">
        <v>588835.22531599004</v>
      </c>
      <c r="AG67" s="77">
        <v>583736.06315070996</v>
      </c>
      <c r="AH67" s="77">
        <v>565155.39737429004</v>
      </c>
      <c r="AI67" s="77">
        <v>575267.95927981997</v>
      </c>
      <c r="AJ67" s="77">
        <v>565720.55011022999</v>
      </c>
      <c r="AK67" s="77">
        <v>546722.03263111005</v>
      </c>
      <c r="AL67" s="77">
        <v>560582.22167897003</v>
      </c>
      <c r="AM67" s="77">
        <v>555344.88928382006</v>
      </c>
      <c r="AN67" s="77">
        <v>591832.16745335003</v>
      </c>
      <c r="AO67" s="77">
        <v>578869.75255252002</v>
      </c>
      <c r="AP67" s="77">
        <v>577870.13468649995</v>
      </c>
      <c r="AQ67" s="77">
        <v>552451.25107234996</v>
      </c>
      <c r="AR67" s="77">
        <v>563511.92130292999</v>
      </c>
      <c r="AS67" s="77">
        <v>564588.50868822006</v>
      </c>
      <c r="AT67" s="77">
        <v>527259.24222963001</v>
      </c>
      <c r="AU67" s="77">
        <v>488225.51387060003</v>
      </c>
      <c r="AV67" s="77">
        <v>466061.47031819</v>
      </c>
      <c r="AW67" s="77">
        <v>447663.33102465997</v>
      </c>
      <c r="AX67" s="77">
        <v>450849.79100800998</v>
      </c>
      <c r="AY67" s="77">
        <v>444715.47714464</v>
      </c>
      <c r="AZ67" s="77">
        <v>439513.70067773998</v>
      </c>
      <c r="BA67" s="77">
        <v>443551.63524004002</v>
      </c>
      <c r="BB67" s="77">
        <v>426105.56806987</v>
      </c>
      <c r="BC67" s="77">
        <v>418534.76104508003</v>
      </c>
      <c r="BD67" s="77">
        <v>407813.46863985999</v>
      </c>
      <c r="BE67" s="77">
        <v>405230.15093677002</v>
      </c>
      <c r="BF67" s="77">
        <v>386556.27299178002</v>
      </c>
      <c r="BG67" s="77">
        <v>384023.72551740002</v>
      </c>
      <c r="BH67" s="77">
        <v>365847.46088407002</v>
      </c>
      <c r="BI67" s="77">
        <v>352367.32115561003</v>
      </c>
      <c r="BJ67" s="77">
        <v>358576.97274360002</v>
      </c>
      <c r="BK67" s="29">
        <v>311784.24393780017</v>
      </c>
      <c r="BL67" s="77">
        <v>313145.97885871999</v>
      </c>
      <c r="BM67" s="77">
        <v>316931.08413570002</v>
      </c>
      <c r="BN67" s="77">
        <v>324603.8233626</v>
      </c>
      <c r="BO67" s="77">
        <v>347351.13475872</v>
      </c>
      <c r="BP67" s="77">
        <v>372613.35500317003</v>
      </c>
      <c r="BQ67" s="77">
        <v>377802.78387776</v>
      </c>
      <c r="BR67" s="77">
        <v>409590.25261651998</v>
      </c>
      <c r="BS67" s="77">
        <v>427934.27902038</v>
      </c>
      <c r="BT67" s="77">
        <v>439466.95575838001</v>
      </c>
      <c r="BU67" s="77">
        <v>442563.98458270001</v>
      </c>
      <c r="BV67" s="77">
        <v>448070.77231145999</v>
      </c>
      <c r="BW67" s="77">
        <v>445104.68296228</v>
      </c>
      <c r="BX67" s="77">
        <v>444816.40866726998</v>
      </c>
      <c r="BY67" s="77">
        <v>445794.02558155003</v>
      </c>
      <c r="BZ67" s="77">
        <v>438295.4858653</v>
      </c>
      <c r="CA67" s="77">
        <v>435870.92059246002</v>
      </c>
      <c r="CB67" s="77">
        <v>440009.87526634999</v>
      </c>
      <c r="CC67" s="77">
        <v>434826.50706565002</v>
      </c>
      <c r="CD67" s="77">
        <v>430870.54136287002</v>
      </c>
      <c r="CE67" s="77">
        <v>432840.61654150003</v>
      </c>
      <c r="CF67" s="77">
        <v>430840.07407216</v>
      </c>
      <c r="CG67" s="77">
        <v>430413.91035090998</v>
      </c>
      <c r="CH67" s="77">
        <v>427182.79104877001</v>
      </c>
      <c r="CI67" s="77">
        <v>426350.04925302998</v>
      </c>
      <c r="CJ67" s="77">
        <v>428955.92533736001</v>
      </c>
      <c r="CK67" s="77">
        <v>427687.35561807</v>
      </c>
      <c r="CL67" s="77">
        <v>428333.27185379999</v>
      </c>
      <c r="CM67" s="80">
        <v>425232.66573687998</v>
      </c>
      <c r="CN67" s="80">
        <v>423526.48433854</v>
      </c>
      <c r="CO67" s="80">
        <v>424094.63046557002</v>
      </c>
      <c r="CP67" s="80">
        <v>422483.30053866003</v>
      </c>
      <c r="CQ67" s="80">
        <v>422399.78524957999</v>
      </c>
      <c r="CR67" s="80">
        <v>421904.72394523001</v>
      </c>
      <c r="CS67" s="80">
        <v>402440.10098430002</v>
      </c>
      <c r="CT67" s="80">
        <v>405746.80777909001</v>
      </c>
      <c r="CU67" s="80">
        <v>404521.53014539002</v>
      </c>
      <c r="CV67" s="80">
        <v>392684.38269409997</v>
      </c>
      <c r="CW67" s="80">
        <v>394772.484948</v>
      </c>
      <c r="CX67" s="80">
        <v>394254.88395958999</v>
      </c>
      <c r="CY67" s="80">
        <v>394820.69488520001</v>
      </c>
      <c r="CZ67" s="80">
        <v>386151.41616569</v>
      </c>
      <c r="DA67" s="80">
        <v>383343.38580647</v>
      </c>
      <c r="DB67" s="80">
        <v>378507.10855516</v>
      </c>
      <c r="DC67" s="80">
        <v>382868.53463021002</v>
      </c>
      <c r="DD67" s="80">
        <v>381335.22355847002</v>
      </c>
      <c r="DE67" s="80">
        <v>201261.77834667999</v>
      </c>
      <c r="DF67" s="80">
        <v>206077.23881516</v>
      </c>
      <c r="DG67" s="80">
        <v>199248.73184404999</v>
      </c>
    </row>
    <row r="68" spans="1:111" s="137" customFormat="1" x14ac:dyDescent="0.3">
      <c r="A68" s="133" t="s">
        <v>27</v>
      </c>
      <c r="B68" s="134">
        <v>35.647376908056941</v>
      </c>
      <c r="C68" s="134">
        <v>34.063896145973587</v>
      </c>
      <c r="D68" s="134">
        <v>33.277378806830136</v>
      </c>
      <c r="E68" s="134">
        <v>33.839329876875233</v>
      </c>
      <c r="F68" s="134">
        <v>33.815423164338227</v>
      </c>
      <c r="G68" s="134">
        <v>34.738122133860202</v>
      </c>
      <c r="H68" s="134">
        <v>34.551955526727994</v>
      </c>
      <c r="I68" s="134">
        <v>34.383696357937353</v>
      </c>
      <c r="J68" s="135">
        <v>34.112325867629579</v>
      </c>
      <c r="K68" s="135">
        <v>34.143881203431199</v>
      </c>
      <c r="L68" s="135">
        <v>33.621567610637499</v>
      </c>
      <c r="M68" s="134">
        <v>32.721237486327503</v>
      </c>
      <c r="N68" s="135">
        <v>34.923946008724897</v>
      </c>
      <c r="O68" s="135">
        <v>34.524230873009401</v>
      </c>
      <c r="P68" s="135">
        <v>34.731600158403097</v>
      </c>
      <c r="Q68" s="135">
        <v>34.446482483319798</v>
      </c>
      <c r="R68" s="135">
        <v>34.368848408684201</v>
      </c>
      <c r="S68" s="135">
        <v>34.323251976644599</v>
      </c>
      <c r="T68" s="135">
        <v>34.2133253188683</v>
      </c>
      <c r="U68" s="135">
        <v>34.580838868717898</v>
      </c>
      <c r="V68" s="135">
        <v>34.568272747288901</v>
      </c>
      <c r="W68" s="135">
        <v>34.900701632175803</v>
      </c>
      <c r="X68" s="135">
        <v>35.207838865327901</v>
      </c>
      <c r="Y68" s="135">
        <v>33.580810894681697</v>
      </c>
      <c r="Z68" s="135">
        <v>33.655459065235597</v>
      </c>
      <c r="AA68" s="135">
        <v>32.645174614379698</v>
      </c>
      <c r="AB68" s="135">
        <v>32.9770822759384</v>
      </c>
      <c r="AC68" s="135">
        <v>32.554330655272103</v>
      </c>
      <c r="AD68" s="135">
        <v>32.320166961981101</v>
      </c>
      <c r="AE68" s="135">
        <v>31.711396529746999</v>
      </c>
      <c r="AF68" s="135">
        <v>31.089407325381298</v>
      </c>
      <c r="AG68" s="135">
        <v>30.732327911316499</v>
      </c>
      <c r="AH68" s="135">
        <v>30.120025851905702</v>
      </c>
      <c r="AI68" s="135">
        <v>30.150913385770298</v>
      </c>
      <c r="AJ68" s="135">
        <v>29.689129316473998</v>
      </c>
      <c r="AK68" s="135">
        <v>27.575618309412398</v>
      </c>
      <c r="AL68" s="135">
        <v>27.572737712373002</v>
      </c>
      <c r="AM68" s="135">
        <v>27.3258725717406</v>
      </c>
      <c r="AN68" s="135">
        <v>28.2361499109821</v>
      </c>
      <c r="AO68" s="135">
        <v>27.8565827150485</v>
      </c>
      <c r="AP68" s="135">
        <v>27.332868246763901</v>
      </c>
      <c r="AQ68" s="135">
        <v>26.427643457996201</v>
      </c>
      <c r="AR68" s="135">
        <v>26.134998419042098</v>
      </c>
      <c r="AS68" s="135">
        <v>26.089224322795399</v>
      </c>
      <c r="AT68" s="135">
        <v>24.272883819046498</v>
      </c>
      <c r="AU68" s="135">
        <v>22.534945345760701</v>
      </c>
      <c r="AV68" s="135">
        <v>21.587564475946799</v>
      </c>
      <c r="AW68" s="135">
        <v>20.2503264140346</v>
      </c>
      <c r="AX68" s="135">
        <v>20.431411956419701</v>
      </c>
      <c r="AY68" s="135">
        <v>20.121310431133001</v>
      </c>
      <c r="AZ68" s="135">
        <v>19.848720145040001</v>
      </c>
      <c r="BA68" s="135">
        <v>19.7751717475143</v>
      </c>
      <c r="BB68" s="135">
        <v>18.949388938881501</v>
      </c>
      <c r="BC68" s="135">
        <v>18.606570090599298</v>
      </c>
      <c r="BD68" s="135">
        <v>18.049700662224598</v>
      </c>
      <c r="BE68" s="135">
        <v>18.027808452969499</v>
      </c>
      <c r="BF68" s="135">
        <v>17.090430320084</v>
      </c>
      <c r="BG68" s="135">
        <v>16.8758115008152</v>
      </c>
      <c r="BH68" s="135">
        <v>15.9737309739329</v>
      </c>
      <c r="BI68" s="135">
        <v>14.9372598756089</v>
      </c>
      <c r="BJ68" s="135">
        <v>15.3001646796712</v>
      </c>
      <c r="BK68" s="136">
        <v>13.787200812247393</v>
      </c>
      <c r="BL68" s="135">
        <v>13.8968861480723</v>
      </c>
      <c r="BM68" s="135">
        <v>13.823190245216701</v>
      </c>
      <c r="BN68" s="135">
        <v>14.1229795270586</v>
      </c>
      <c r="BO68" s="135">
        <v>14.856638852388601</v>
      </c>
      <c r="BP68" s="135">
        <v>14.7011483777633</v>
      </c>
      <c r="BQ68" s="135">
        <v>14.990456572289499</v>
      </c>
      <c r="BR68" s="135">
        <v>16.141398326666799</v>
      </c>
      <c r="BS68" s="135">
        <v>16.450819880798001</v>
      </c>
      <c r="BT68" s="135">
        <v>16.7395282411319</v>
      </c>
      <c r="BU68" s="135">
        <v>16.289403070480802</v>
      </c>
      <c r="BV68" s="135">
        <v>16.382533984060899</v>
      </c>
      <c r="BW68" s="135">
        <v>16.071345141004802</v>
      </c>
      <c r="BX68" s="135">
        <v>15.9120856717871</v>
      </c>
      <c r="BY68" s="135">
        <v>15.602715355122101</v>
      </c>
      <c r="BZ68" s="135">
        <v>15.328301227588801</v>
      </c>
      <c r="CA68" s="135">
        <v>14.902474718795601</v>
      </c>
      <c r="CB68" s="135">
        <v>14.754425890226701</v>
      </c>
      <c r="CC68" s="135">
        <v>14.5751743158674</v>
      </c>
      <c r="CD68" s="135">
        <v>14.3381562579643</v>
      </c>
      <c r="CE68" s="135">
        <v>14.2626801536457</v>
      </c>
      <c r="CF68" s="135">
        <v>13.8633325837413</v>
      </c>
      <c r="CG68" s="135">
        <v>13.0088605898642</v>
      </c>
      <c r="CH68" s="135">
        <v>13.084312134963</v>
      </c>
      <c r="CI68" s="135">
        <v>12.9890564942857</v>
      </c>
      <c r="CJ68" s="135">
        <v>12.805422458531</v>
      </c>
      <c r="CK68" s="135">
        <v>12.6564822073007</v>
      </c>
      <c r="CL68" s="135">
        <v>12.4766928242492</v>
      </c>
      <c r="CM68" s="135">
        <v>12.179217527871399</v>
      </c>
      <c r="CN68" s="135">
        <v>12.067332890617401</v>
      </c>
      <c r="CO68" s="135">
        <v>12.0223129642545</v>
      </c>
      <c r="CP68" s="135">
        <v>11.912418278709699</v>
      </c>
      <c r="CQ68" s="135">
        <v>11.754885447073899</v>
      </c>
      <c r="CR68" s="135">
        <v>11.6204031544532</v>
      </c>
      <c r="CS68" s="135">
        <v>10.657432892345099</v>
      </c>
      <c r="CT68" s="135">
        <v>10.8545920130843</v>
      </c>
      <c r="CU68" s="135">
        <v>10.7493195641214</v>
      </c>
      <c r="CV68" s="135">
        <v>10.4821992536246</v>
      </c>
      <c r="CW68" s="135">
        <v>10.3256702127239</v>
      </c>
      <c r="CX68" s="135">
        <v>10.296099668397799</v>
      </c>
      <c r="CY68" s="135">
        <v>10.2356610446757</v>
      </c>
      <c r="CZ68" s="135">
        <v>9.9792365677461898</v>
      </c>
      <c r="DA68" s="135">
        <v>9.8123013679841495</v>
      </c>
      <c r="DB68" s="135">
        <v>9.5738296631725106</v>
      </c>
      <c r="DC68" s="135">
        <v>9.4974580265938595</v>
      </c>
      <c r="DD68" s="135">
        <v>9.3294221207601797</v>
      </c>
      <c r="DE68" s="135">
        <v>4.8133221871589003</v>
      </c>
      <c r="DF68" s="135">
        <v>4.9645427670098004</v>
      </c>
      <c r="DG68" s="135">
        <v>4.75933496774039</v>
      </c>
    </row>
    <row r="69" spans="1:111" x14ac:dyDescent="0.3">
      <c r="A69" s="138"/>
      <c r="B69" s="122"/>
      <c r="C69" s="122"/>
      <c r="D69" s="122"/>
      <c r="E69" s="122"/>
      <c r="F69" s="122"/>
      <c r="G69" s="122"/>
      <c r="H69" s="122"/>
      <c r="I69" s="122"/>
      <c r="J69" s="2"/>
      <c r="K69" s="2"/>
      <c r="L69" s="2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</row>
    <row r="70" spans="1:111" x14ac:dyDescent="0.3">
      <c r="A70" s="139" t="s">
        <v>36</v>
      </c>
      <c r="B70" s="105"/>
      <c r="C70" s="105"/>
      <c r="D70" s="105"/>
      <c r="E70" s="105"/>
      <c r="F70" s="105"/>
      <c r="G70" s="105"/>
      <c r="H70" s="105"/>
      <c r="I70" s="105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02"/>
      <c r="AA70" s="102"/>
      <c r="AB70" s="102"/>
      <c r="AC70" s="102"/>
      <c r="AD70" s="102"/>
      <c r="AE70" s="102"/>
      <c r="AF70" s="102"/>
      <c r="AG70" s="102"/>
      <c r="AH70" s="102"/>
      <c r="AI70" s="102"/>
      <c r="AJ70" s="102"/>
      <c r="AK70" s="102"/>
      <c r="AL70" s="102"/>
      <c r="AM70" s="102"/>
      <c r="AN70" s="102"/>
      <c r="AO70" s="102"/>
      <c r="AP70" s="102"/>
      <c r="AQ70" s="102"/>
      <c r="AR70" s="102"/>
      <c r="AS70" s="102"/>
      <c r="AT70" s="102"/>
      <c r="AU70" s="102"/>
      <c r="AV70" s="102"/>
      <c r="AW70" s="102"/>
      <c r="AX70" s="102"/>
      <c r="AY70" s="102"/>
      <c r="AZ70" s="102"/>
      <c r="BA70" s="102"/>
      <c r="BB70" s="102"/>
      <c r="BC70" s="102"/>
      <c r="BD70" s="102"/>
      <c r="BE70" s="102"/>
      <c r="BF70" s="102"/>
      <c r="BG70" s="102"/>
      <c r="BH70" s="102"/>
      <c r="BI70" s="102"/>
      <c r="BJ70" s="102"/>
      <c r="BK70" s="117"/>
      <c r="BL70" s="102"/>
      <c r="BM70" s="102"/>
      <c r="BN70" s="102"/>
      <c r="BO70" s="102"/>
      <c r="BP70" s="102"/>
      <c r="BQ70" s="102"/>
      <c r="BR70" s="102"/>
      <c r="BS70" s="102"/>
      <c r="BT70" s="102"/>
      <c r="BU70" s="102"/>
      <c r="BV70" s="102"/>
      <c r="BW70" s="102"/>
      <c r="BX70" s="102"/>
      <c r="BY70" s="102"/>
      <c r="BZ70" s="102"/>
      <c r="CA70" s="102"/>
      <c r="CB70" s="102"/>
      <c r="CC70" s="102"/>
      <c r="CD70" s="102"/>
      <c r="CE70" s="102"/>
      <c r="CF70" s="102"/>
      <c r="CG70" s="102"/>
      <c r="CH70" s="102"/>
      <c r="CI70" s="102"/>
      <c r="CJ70" s="102"/>
      <c r="CK70" s="102"/>
      <c r="CL70" s="102"/>
      <c r="CM70" s="102"/>
      <c r="CN70" s="102"/>
      <c r="CO70" s="102"/>
      <c r="CP70" s="102"/>
      <c r="CQ70" s="102"/>
      <c r="CR70" s="102"/>
      <c r="CS70" s="102"/>
      <c r="CT70" s="102"/>
      <c r="CU70" s="102"/>
      <c r="CV70" s="102"/>
      <c r="CW70" s="102"/>
      <c r="CX70" s="102"/>
      <c r="CY70" s="102"/>
      <c r="CZ70" s="102"/>
      <c r="DA70" s="102"/>
      <c r="DB70" s="102"/>
      <c r="DC70" s="102"/>
      <c r="DD70" s="102"/>
      <c r="DE70" s="102"/>
      <c r="DF70" s="102"/>
      <c r="DG70" s="102"/>
    </row>
    <row r="71" spans="1:111" s="30" customFormat="1" ht="28.8" x14ac:dyDescent="0.3">
      <c r="A71" s="140" t="s">
        <v>37</v>
      </c>
      <c r="B71" s="106">
        <v>124867.59038856995</v>
      </c>
      <c r="C71" s="106">
        <v>169780.88672747012</v>
      </c>
      <c r="D71" s="106">
        <v>272394.45011044986</v>
      </c>
      <c r="E71" s="106">
        <v>272551.58646924992</v>
      </c>
      <c r="F71" s="106">
        <v>284790.93842895998</v>
      </c>
      <c r="G71" s="106">
        <v>288802.83272411005</v>
      </c>
      <c r="H71" s="106">
        <v>287915.40245565976</v>
      </c>
      <c r="I71" s="106">
        <v>283518.92514568969</v>
      </c>
      <c r="J71" s="106">
        <v>280383.82327784022</v>
      </c>
      <c r="K71" s="106">
        <v>281418.90482512</v>
      </c>
      <c r="L71" s="106">
        <v>238756.52399503</v>
      </c>
      <c r="M71" s="106">
        <v>264929.03239339998</v>
      </c>
      <c r="N71" s="106">
        <v>277796.1303504</v>
      </c>
      <c r="O71" s="106">
        <v>266703.37489024003</v>
      </c>
      <c r="P71" s="106">
        <v>263843.71223876002</v>
      </c>
      <c r="Q71" s="106">
        <v>283887.11608154001</v>
      </c>
      <c r="R71" s="106">
        <v>282155.66397519998</v>
      </c>
      <c r="S71" s="106">
        <v>288706.96505775</v>
      </c>
      <c r="T71" s="106">
        <v>288923.49375234998</v>
      </c>
      <c r="U71" s="106">
        <v>316961.58765721001</v>
      </c>
      <c r="V71" s="106">
        <v>320200.37001272</v>
      </c>
      <c r="W71" s="106">
        <v>319669.61948333</v>
      </c>
      <c r="X71" s="106">
        <v>318626.93145277002</v>
      </c>
      <c r="Y71" s="106">
        <v>322981.11370421998</v>
      </c>
      <c r="Z71" s="106">
        <v>333766.11487021</v>
      </c>
      <c r="AA71" s="106">
        <v>331895.40964117</v>
      </c>
      <c r="AB71" s="106">
        <v>340089.05130713002</v>
      </c>
      <c r="AC71" s="106">
        <v>329874.11496754998</v>
      </c>
      <c r="AD71" s="106">
        <v>333859.61289547</v>
      </c>
      <c r="AE71" s="106">
        <v>335921.06072668999</v>
      </c>
      <c r="AF71" s="106">
        <v>336083.8087997</v>
      </c>
      <c r="AG71" s="106">
        <v>343433.70045493997</v>
      </c>
      <c r="AH71" s="106">
        <v>346765.67681728001</v>
      </c>
      <c r="AI71" s="106">
        <v>357941.62945593998</v>
      </c>
      <c r="AJ71" s="106">
        <v>367154.18284347001</v>
      </c>
      <c r="AK71" s="106">
        <v>386519.16977917001</v>
      </c>
      <c r="AL71" s="106">
        <v>410629.93121392</v>
      </c>
      <c r="AM71" s="106">
        <v>418145.18777342001</v>
      </c>
      <c r="AN71" s="106">
        <v>386185.56570873002</v>
      </c>
      <c r="AO71" s="106">
        <v>387509.09281867999</v>
      </c>
      <c r="AP71" s="106">
        <v>388368.30039746</v>
      </c>
      <c r="AQ71" s="106">
        <v>394660.82523279003</v>
      </c>
      <c r="AR71" s="106">
        <v>408473.19221086998</v>
      </c>
      <c r="AS71" s="106">
        <v>416619.13027761999</v>
      </c>
      <c r="AT71" s="106">
        <v>430574.94742647</v>
      </c>
      <c r="AU71" s="106">
        <v>438638.73923101998</v>
      </c>
      <c r="AV71" s="106">
        <v>454105.71065273997</v>
      </c>
      <c r="AW71" s="106">
        <v>484571.24287024001</v>
      </c>
      <c r="AX71" s="106">
        <v>490828.23039272003</v>
      </c>
      <c r="AY71" s="106">
        <v>503320.09041998</v>
      </c>
      <c r="AZ71" s="106">
        <v>513145.52797617001</v>
      </c>
      <c r="BA71" s="106">
        <v>531275.42588450003</v>
      </c>
      <c r="BB71" s="106">
        <v>536101.32179040997</v>
      </c>
      <c r="BC71" s="106">
        <v>546775.78064113995</v>
      </c>
      <c r="BD71" s="106">
        <v>563806.91106982995</v>
      </c>
      <c r="BE71" s="106">
        <v>567302.37717229</v>
      </c>
      <c r="BF71" s="106">
        <v>580662.00469763996</v>
      </c>
      <c r="BG71" s="106">
        <v>590624.10153172002</v>
      </c>
      <c r="BH71" s="106">
        <v>607434.77802593994</v>
      </c>
      <c r="BI71" s="106">
        <v>662069.68827097001</v>
      </c>
      <c r="BJ71" s="106">
        <v>682480.86859401001</v>
      </c>
      <c r="BK71" s="27">
        <v>598355.09010994015</v>
      </c>
      <c r="BL71" s="106">
        <v>555628.44584228995</v>
      </c>
      <c r="BM71" s="106">
        <v>553691.66139153996</v>
      </c>
      <c r="BN71" s="106">
        <v>548575.80144697998</v>
      </c>
      <c r="BO71" s="106">
        <v>552887.03710759</v>
      </c>
      <c r="BP71" s="106">
        <v>586704.80111548002</v>
      </c>
      <c r="BQ71" s="106">
        <v>585271.35133189999</v>
      </c>
      <c r="BR71" s="105">
        <v>580647.59684387001</v>
      </c>
      <c r="BS71" s="105">
        <v>575163.54474388005</v>
      </c>
      <c r="BT71" s="105">
        <v>571782.80848235998</v>
      </c>
      <c r="BU71" s="105">
        <v>591929.82868342998</v>
      </c>
      <c r="BV71" s="105">
        <v>598863.70164694998</v>
      </c>
      <c r="BW71" s="105">
        <v>598780.23523798003</v>
      </c>
      <c r="BX71" s="105">
        <v>591409.78812356002</v>
      </c>
      <c r="BY71" s="105">
        <v>608512.96607362002</v>
      </c>
      <c r="BZ71" s="105">
        <v>630747.74586416001</v>
      </c>
      <c r="CA71" s="105">
        <v>651799.66007344006</v>
      </c>
      <c r="CB71" s="105">
        <v>661407.22737202002</v>
      </c>
      <c r="CC71" s="105">
        <v>663258.60387375997</v>
      </c>
      <c r="CD71" s="105">
        <v>667832.56928884005</v>
      </c>
      <c r="CE71" s="105">
        <v>687362.85804425005</v>
      </c>
      <c r="CF71" s="105">
        <v>721648.18191232998</v>
      </c>
      <c r="CG71" s="105">
        <v>762037.19093157002</v>
      </c>
      <c r="CH71" s="105">
        <v>773515.13192774996</v>
      </c>
      <c r="CI71" s="105">
        <v>778029.56845585001</v>
      </c>
      <c r="CJ71" s="105">
        <v>778382.00416202005</v>
      </c>
      <c r="CK71" s="105">
        <v>770772.42212292005</v>
      </c>
      <c r="CL71" s="105">
        <v>783374.25742748997</v>
      </c>
      <c r="CM71" s="105">
        <v>784024.77534137003</v>
      </c>
      <c r="CN71" s="105">
        <v>802733.20017276995</v>
      </c>
      <c r="CO71" s="105">
        <v>801060.47832008998</v>
      </c>
      <c r="CP71" s="105">
        <v>806764.69164295995</v>
      </c>
      <c r="CQ71" s="105">
        <v>828015.77437183005</v>
      </c>
      <c r="CR71" s="105">
        <v>837413.07091769006</v>
      </c>
      <c r="CS71" s="105">
        <v>864079.86943064001</v>
      </c>
      <c r="CT71" s="105">
        <v>883049.67832158005</v>
      </c>
      <c r="CU71" s="105">
        <v>892039.20394617994</v>
      </c>
      <c r="CV71" s="105">
        <v>902512.02355823002</v>
      </c>
      <c r="CW71" s="105">
        <v>916174.99582673004</v>
      </c>
      <c r="CX71" s="105">
        <v>932699.25464358996</v>
      </c>
      <c r="CY71" s="105">
        <v>958912.93751345004</v>
      </c>
      <c r="CZ71" s="105">
        <v>977277.94329098996</v>
      </c>
      <c r="DA71" s="105">
        <v>965421.97202451003</v>
      </c>
      <c r="DB71" s="105">
        <v>975611.50801042002</v>
      </c>
      <c r="DC71" s="105">
        <v>977483.17238293996</v>
      </c>
      <c r="DD71" s="105">
        <v>1010060.4444324001</v>
      </c>
      <c r="DE71" s="105">
        <v>1034841.65340726</v>
      </c>
      <c r="DF71" s="105">
        <v>1053358.35846258</v>
      </c>
      <c r="DG71" s="105">
        <v>1053113.62591184</v>
      </c>
    </row>
    <row r="72" spans="1:111" s="30" customFormat="1" ht="28.8" x14ac:dyDescent="0.3">
      <c r="A72" s="141" t="s">
        <v>38</v>
      </c>
      <c r="B72" s="27">
        <v>55602.111721119982</v>
      </c>
      <c r="C72" s="27">
        <v>42785.935868660017</v>
      </c>
      <c r="D72" s="27">
        <v>59115.745158430029</v>
      </c>
      <c r="E72" s="27">
        <v>61568.528343739978</v>
      </c>
      <c r="F72" s="27">
        <v>57412.988008019995</v>
      </c>
      <c r="G72" s="27">
        <v>53708.954593930015</v>
      </c>
      <c r="H72" s="27">
        <v>53251.462195570006</v>
      </c>
      <c r="I72" s="27">
        <v>61075.316676730021</v>
      </c>
      <c r="J72" s="27">
        <v>67126.364309929952</v>
      </c>
      <c r="K72" s="27">
        <v>70184.782351389906</v>
      </c>
      <c r="L72" s="27">
        <v>62614.344266799999</v>
      </c>
      <c r="M72" s="27">
        <v>57736.474608639997</v>
      </c>
      <c r="N72" s="28">
        <v>68796.919775860006</v>
      </c>
      <c r="O72" s="28">
        <v>82745.937122670002</v>
      </c>
      <c r="P72" s="27">
        <v>80590.405482770104</v>
      </c>
      <c r="Q72" s="27">
        <v>65415.165352030002</v>
      </c>
      <c r="R72" s="27">
        <v>68443.663267509997</v>
      </c>
      <c r="S72" s="27">
        <v>66629.943651270005</v>
      </c>
      <c r="T72" s="27">
        <v>71064.909309819996</v>
      </c>
      <c r="U72" s="27">
        <v>71104.177644070005</v>
      </c>
      <c r="V72" s="27">
        <v>78551.756447649997</v>
      </c>
      <c r="W72" s="27">
        <v>71959.659966599997</v>
      </c>
      <c r="X72" s="27">
        <v>71986.023211159903</v>
      </c>
      <c r="Y72" s="27">
        <v>64558.701782199998</v>
      </c>
      <c r="Z72" s="27">
        <v>66979.250959519995</v>
      </c>
      <c r="AA72" s="27">
        <v>66335.047396370006</v>
      </c>
      <c r="AB72" s="27">
        <v>66939.204815969904</v>
      </c>
      <c r="AC72" s="27">
        <v>68561.458006910005</v>
      </c>
      <c r="AD72" s="27">
        <v>67027.436257540001</v>
      </c>
      <c r="AE72" s="27">
        <v>71169.387489279994</v>
      </c>
      <c r="AF72" s="27">
        <v>77985.682116390002</v>
      </c>
      <c r="AG72" s="27">
        <v>78251.066752350001</v>
      </c>
      <c r="AH72" s="27">
        <v>73413.157491139995</v>
      </c>
      <c r="AI72" s="27">
        <v>71978.613233740005</v>
      </c>
      <c r="AJ72" s="27">
        <v>72174.951403939995</v>
      </c>
      <c r="AK72" s="27">
        <v>63807.496672890004</v>
      </c>
      <c r="AL72" s="27">
        <v>78523.627052750002</v>
      </c>
      <c r="AM72" s="27">
        <v>82069.155225619994</v>
      </c>
      <c r="AN72" s="27">
        <v>85177.930904459994</v>
      </c>
      <c r="AO72" s="27">
        <v>84729.466844919996</v>
      </c>
      <c r="AP72" s="27">
        <v>89884.7534878101</v>
      </c>
      <c r="AQ72" s="27">
        <v>91909.343445480001</v>
      </c>
      <c r="AR72" s="27">
        <v>106569.67757735999</v>
      </c>
      <c r="AS72" s="27">
        <v>115624.70367826</v>
      </c>
      <c r="AT72" s="27">
        <v>114064.77408659999</v>
      </c>
      <c r="AU72" s="27">
        <v>123133.79037308</v>
      </c>
      <c r="AV72" s="27">
        <v>129775.52524197</v>
      </c>
      <c r="AW72" s="27">
        <v>121739.65832548001</v>
      </c>
      <c r="AX72" s="27">
        <v>128873.61398643001</v>
      </c>
      <c r="AY72" s="27">
        <v>138252.45656252999</v>
      </c>
      <c r="AZ72" s="27">
        <v>137082.39432696</v>
      </c>
      <c r="BA72" s="27">
        <v>136421.56956788999</v>
      </c>
      <c r="BB72" s="27">
        <v>147356.27068943001</v>
      </c>
      <c r="BC72" s="27">
        <v>135401.21896815</v>
      </c>
      <c r="BD72" s="27">
        <v>144727.13702641</v>
      </c>
      <c r="BE72" s="27">
        <v>156207.01555656001</v>
      </c>
      <c r="BF72" s="27">
        <v>157627.98680724</v>
      </c>
      <c r="BG72" s="27">
        <v>149254.71709305001</v>
      </c>
      <c r="BH72" s="27">
        <v>170404.12616754</v>
      </c>
      <c r="BI72" s="27">
        <v>149603.83239408999</v>
      </c>
      <c r="BJ72" s="27">
        <v>176947.31932981999</v>
      </c>
      <c r="BK72" s="42">
        <v>139802.42327850006</v>
      </c>
      <c r="BL72" s="27">
        <v>130828.54820644</v>
      </c>
      <c r="BM72" s="27">
        <v>125432.48304137</v>
      </c>
      <c r="BN72" s="27">
        <v>127393.57352647001</v>
      </c>
      <c r="BO72" s="27">
        <v>122871.30720666</v>
      </c>
      <c r="BP72" s="27">
        <v>133788.06773151</v>
      </c>
      <c r="BQ72" s="27">
        <v>139828.57968189</v>
      </c>
      <c r="BR72" s="25">
        <v>145706.36380871999</v>
      </c>
      <c r="BS72" s="25">
        <v>142633.73293200001</v>
      </c>
      <c r="BT72" s="25">
        <v>164420.98693062001</v>
      </c>
      <c r="BU72" s="25">
        <v>137716.99463678</v>
      </c>
      <c r="BV72" s="25">
        <v>138376.69471064999</v>
      </c>
      <c r="BW72" s="25">
        <v>143887.13292653</v>
      </c>
      <c r="BX72" s="25">
        <v>143658.28694285001</v>
      </c>
      <c r="BY72" s="25">
        <v>127574.37337184</v>
      </c>
      <c r="BZ72" s="25">
        <v>130890.24978396999</v>
      </c>
      <c r="CA72" s="25">
        <v>127038.47945888</v>
      </c>
      <c r="CB72" s="25">
        <v>127302.24219477001</v>
      </c>
      <c r="CC72" s="25">
        <v>120520.45413608001</v>
      </c>
      <c r="CD72" s="25">
        <v>126022.97656204</v>
      </c>
      <c r="CE72" s="25">
        <v>123992.47413521</v>
      </c>
      <c r="CF72" s="25">
        <v>127334.30944262999</v>
      </c>
      <c r="CG72" s="25">
        <v>142739.33076931001</v>
      </c>
      <c r="CH72" s="25">
        <v>120579.05144588</v>
      </c>
      <c r="CI72" s="25">
        <v>144158.60377628001</v>
      </c>
      <c r="CJ72" s="25">
        <v>159608.69117341001</v>
      </c>
      <c r="CK72" s="25">
        <v>160525.23144142001</v>
      </c>
      <c r="CL72" s="25">
        <v>162074.36169208001</v>
      </c>
      <c r="CM72" s="25">
        <v>168952.29672869999</v>
      </c>
      <c r="CN72" s="25">
        <v>172436.06857174999</v>
      </c>
      <c r="CO72" s="25">
        <v>170495.84275536999</v>
      </c>
      <c r="CP72" s="25">
        <v>181175.0193289</v>
      </c>
      <c r="CQ72" s="25">
        <v>185981.09581935999</v>
      </c>
      <c r="CR72" s="25">
        <v>178916.51766416</v>
      </c>
      <c r="CS72" s="25">
        <v>179203.20457363001</v>
      </c>
      <c r="CT72" s="25">
        <v>172172.18097895</v>
      </c>
      <c r="CU72" s="25">
        <v>154199.54012771</v>
      </c>
      <c r="CV72" s="25">
        <v>156079.10562625999</v>
      </c>
      <c r="CW72" s="25">
        <v>160882.32357492999</v>
      </c>
      <c r="CX72" s="25">
        <v>156125.55468954999</v>
      </c>
      <c r="CY72" s="25">
        <v>173253.37303593999</v>
      </c>
      <c r="CZ72" s="25">
        <v>176080.82490678001</v>
      </c>
      <c r="DA72" s="25">
        <v>203527.45912340999</v>
      </c>
      <c r="DB72" s="25">
        <v>228787.50873156</v>
      </c>
      <c r="DC72" s="25">
        <v>219051.70143620999</v>
      </c>
      <c r="DD72" s="25">
        <v>243197.75227905999</v>
      </c>
      <c r="DE72" s="25">
        <v>213962.22400650001</v>
      </c>
      <c r="DF72" s="25">
        <v>226091.48977936001</v>
      </c>
      <c r="DG72" s="25">
        <v>219993.70791567999</v>
      </c>
    </row>
    <row r="73" spans="1:111" s="30" customFormat="1" x14ac:dyDescent="0.3">
      <c r="A73" s="31" t="s">
        <v>26</v>
      </c>
      <c r="B73" s="27">
        <v>5715.8452404499976</v>
      </c>
      <c r="C73" s="27">
        <v>6745.1499010400021</v>
      </c>
      <c r="D73" s="27">
        <v>8820.6235235599979</v>
      </c>
      <c r="E73" s="27">
        <v>8247.240625460001</v>
      </c>
      <c r="F73" s="27">
        <v>8410.9142170200048</v>
      </c>
      <c r="G73" s="27">
        <v>7896.039534319998</v>
      </c>
      <c r="H73" s="27">
        <v>7848.7847203599977</v>
      </c>
      <c r="I73" s="27">
        <v>10332.476691959997</v>
      </c>
      <c r="J73" s="28">
        <v>9390.1868869700011</v>
      </c>
      <c r="K73" s="28">
        <v>9844.30988488</v>
      </c>
      <c r="L73" s="28">
        <v>9080.6861825300002</v>
      </c>
      <c r="M73" s="29">
        <v>8954.3961460800001</v>
      </c>
      <c r="N73" s="28">
        <v>9936.5056692800008</v>
      </c>
      <c r="O73" s="28">
        <v>8123.3476441900002</v>
      </c>
      <c r="P73" s="29">
        <v>8173.2373686700003</v>
      </c>
      <c r="Q73" s="29">
        <v>8529.5105551699999</v>
      </c>
      <c r="R73" s="118">
        <v>7901.9223703600001</v>
      </c>
      <c r="S73" s="118">
        <v>7641.8869689000003</v>
      </c>
      <c r="T73" s="29">
        <v>8646.7545659700008</v>
      </c>
      <c r="U73" s="118">
        <v>8086.08897127</v>
      </c>
      <c r="V73" s="118">
        <v>7730.61872468</v>
      </c>
      <c r="W73" s="118">
        <v>7342.34030489</v>
      </c>
      <c r="X73" s="118">
        <v>7229.6886567499996</v>
      </c>
      <c r="Y73" s="118">
        <v>8337.9429983499995</v>
      </c>
      <c r="Z73" s="118">
        <v>8265.1129327500003</v>
      </c>
      <c r="AA73" s="118">
        <v>8191.05804868</v>
      </c>
      <c r="AB73" s="118">
        <v>8386.59429834</v>
      </c>
      <c r="AC73" s="118">
        <v>8291.36343218</v>
      </c>
      <c r="AD73" s="118">
        <v>8444.1010744100004</v>
      </c>
      <c r="AE73" s="118">
        <v>7776.75871293</v>
      </c>
      <c r="AF73" s="118">
        <v>6912.5248099199998</v>
      </c>
      <c r="AG73" s="118">
        <v>6980.2112549800004</v>
      </c>
      <c r="AH73" s="118">
        <v>6551.9597340999999</v>
      </c>
      <c r="AI73" s="118">
        <v>8203.7586606200002</v>
      </c>
      <c r="AJ73" s="118">
        <v>6645.0663110599999</v>
      </c>
      <c r="AK73" s="118">
        <v>5854.9756167799997</v>
      </c>
      <c r="AL73" s="118">
        <v>5640.3139948999997</v>
      </c>
      <c r="AM73" s="118">
        <v>5587.9002846000003</v>
      </c>
      <c r="AN73" s="118">
        <v>6326.2661091800001</v>
      </c>
      <c r="AO73" s="118">
        <v>5553.8386576100002</v>
      </c>
      <c r="AP73" s="118">
        <v>5696.6360047799999</v>
      </c>
      <c r="AQ73" s="118">
        <v>5639.3625524099998</v>
      </c>
      <c r="AR73" s="118">
        <v>4950.7829201900004</v>
      </c>
      <c r="AS73" s="118">
        <v>4961.2020003300004</v>
      </c>
      <c r="AT73" s="118">
        <v>4882.8025566200004</v>
      </c>
      <c r="AU73" s="118">
        <v>5923.4660521300002</v>
      </c>
      <c r="AV73" s="118">
        <v>5052.82472925</v>
      </c>
      <c r="AW73" s="118">
        <v>4978.6909441099997</v>
      </c>
      <c r="AX73" s="118">
        <v>4910.1420550399998</v>
      </c>
      <c r="AY73" s="118">
        <v>5453.1078385600003</v>
      </c>
      <c r="AZ73" s="118">
        <v>5485.28968214</v>
      </c>
      <c r="BA73" s="118">
        <v>4837.81879974</v>
      </c>
      <c r="BB73" s="118">
        <v>4967.5519835599998</v>
      </c>
      <c r="BC73" s="118">
        <v>4835.6400095700001</v>
      </c>
      <c r="BD73" s="118">
        <v>2145.1396672699998</v>
      </c>
      <c r="BE73" s="118">
        <v>2444.3914797799998</v>
      </c>
      <c r="BF73" s="118">
        <v>2666.0817612699998</v>
      </c>
      <c r="BG73" s="118">
        <v>1986.2020632700001</v>
      </c>
      <c r="BH73" s="118">
        <v>2105.9801471999999</v>
      </c>
      <c r="BI73" s="118">
        <v>1674.6500923599999</v>
      </c>
      <c r="BJ73" s="118">
        <v>1423.2292046</v>
      </c>
      <c r="BK73" s="29">
        <v>1570.5556573999997</v>
      </c>
      <c r="BL73" s="118">
        <v>1535.2342909199999</v>
      </c>
      <c r="BM73" s="118">
        <v>1474.9985014199999</v>
      </c>
      <c r="BN73" s="118">
        <v>1417.0057006500001</v>
      </c>
      <c r="BO73" s="118">
        <v>1524.86906879</v>
      </c>
      <c r="BP73" s="118">
        <v>1525.3675956699999</v>
      </c>
      <c r="BQ73" s="118">
        <v>2020.0933379799999</v>
      </c>
      <c r="BR73" s="119">
        <v>7641.0953903899999</v>
      </c>
      <c r="BS73" s="119">
        <v>6257.4856437500002</v>
      </c>
      <c r="BT73" s="119">
        <v>5037.8220321700001</v>
      </c>
      <c r="BU73" s="119">
        <v>5265.4773547499999</v>
      </c>
      <c r="BV73" s="119">
        <v>2887.0151116500001</v>
      </c>
      <c r="BW73" s="119">
        <v>2167.7393238599998</v>
      </c>
      <c r="BX73" s="119">
        <v>1956.75291227</v>
      </c>
      <c r="BY73" s="119">
        <v>1847.4127883599999</v>
      </c>
      <c r="BZ73" s="119">
        <v>1737.9736986</v>
      </c>
      <c r="CA73" s="119">
        <v>1678.7423218900001</v>
      </c>
      <c r="CB73" s="119">
        <v>2010.7503044499999</v>
      </c>
      <c r="CC73" s="119">
        <v>1845.67994527</v>
      </c>
      <c r="CD73" s="119">
        <v>2568.1871350299998</v>
      </c>
      <c r="CE73" s="119">
        <v>5292.6254735399998</v>
      </c>
      <c r="CF73" s="119">
        <v>5403.0129481399999</v>
      </c>
      <c r="CG73" s="119">
        <v>2709.8547619000001</v>
      </c>
      <c r="CH73" s="119">
        <v>5801.9400070000002</v>
      </c>
      <c r="CI73" s="119">
        <v>5191.8637464900003</v>
      </c>
      <c r="CJ73" s="119">
        <v>2594.7555771100001</v>
      </c>
      <c r="CK73" s="119">
        <v>3180.2261314900002</v>
      </c>
      <c r="CL73" s="119">
        <v>3224.9147728799999</v>
      </c>
      <c r="CM73" s="32">
        <v>7044.32446497</v>
      </c>
      <c r="CN73" s="32">
        <v>7088.8435778100002</v>
      </c>
      <c r="CO73" s="32">
        <v>4021.2427659</v>
      </c>
      <c r="CP73" s="32">
        <v>2821.37087217</v>
      </c>
      <c r="CQ73" s="32">
        <v>1935.9462805200001</v>
      </c>
      <c r="CR73" s="32">
        <v>2043.5513344599999</v>
      </c>
      <c r="CS73" s="32">
        <v>2441.8850367</v>
      </c>
      <c r="CT73" s="32">
        <v>2194.6606408600001</v>
      </c>
      <c r="CU73" s="32">
        <v>2371.1860126699999</v>
      </c>
      <c r="CV73" s="32">
        <v>1497.7557102799999</v>
      </c>
      <c r="CW73" s="32">
        <v>1540.8218790400001</v>
      </c>
      <c r="CX73" s="32">
        <v>2003.20017192</v>
      </c>
      <c r="CY73" s="32">
        <v>1311.0490064400001</v>
      </c>
      <c r="CZ73" s="32">
        <v>1582.68540248</v>
      </c>
      <c r="DA73" s="32">
        <v>1471.02765497</v>
      </c>
      <c r="DB73" s="32">
        <v>2141.4773994500001</v>
      </c>
      <c r="DC73" s="32">
        <v>2292.0044822499999</v>
      </c>
      <c r="DD73" s="32">
        <v>2193.063388</v>
      </c>
      <c r="DE73" s="32">
        <v>2287.8786074</v>
      </c>
      <c r="DF73" s="32">
        <v>2337.9427350300002</v>
      </c>
      <c r="DG73" s="32">
        <v>3927.0549179499999</v>
      </c>
    </row>
    <row r="74" spans="1:111" s="40" customFormat="1" x14ac:dyDescent="0.3">
      <c r="A74" s="142" t="s">
        <v>27</v>
      </c>
      <c r="B74" s="39">
        <v>10.279906758071714</v>
      </c>
      <c r="C74" s="39">
        <v>15.764876387758791</v>
      </c>
      <c r="D74" s="39">
        <v>14.920937729738078</v>
      </c>
      <c r="E74" s="39">
        <v>13.395221304324947</v>
      </c>
      <c r="F74" s="39">
        <v>14.649845808138547</v>
      </c>
      <c r="G74" s="39">
        <v>14.701532722091706</v>
      </c>
      <c r="H74" s="39">
        <v>14.739097100347676</v>
      </c>
      <c r="I74" s="39">
        <v>16.917598228183593</v>
      </c>
      <c r="J74" s="47">
        <v>13.988820910386945</v>
      </c>
      <c r="K74" s="47">
        <v>14.0262740085067</v>
      </c>
      <c r="L74" s="47">
        <v>14.502565328859999</v>
      </c>
      <c r="M74" s="39">
        <v>15.5090801902547</v>
      </c>
      <c r="N74" s="47">
        <v>14.443242083589</v>
      </c>
      <c r="O74" s="47">
        <v>9.8172163210227694</v>
      </c>
      <c r="P74" s="47">
        <v>10.1417002678035</v>
      </c>
      <c r="Q74" s="39">
        <v>13.039041496369601</v>
      </c>
      <c r="R74" s="39">
        <v>11.5451482184342</v>
      </c>
      <c r="S74" s="39">
        <v>11.4691481789274</v>
      </c>
      <c r="T74" s="39">
        <v>12.1674039268424</v>
      </c>
      <c r="U74" s="39">
        <v>11.372171423945</v>
      </c>
      <c r="V74" s="39">
        <v>9.8414333100648008</v>
      </c>
      <c r="W74" s="39">
        <v>10.2034116174228</v>
      </c>
      <c r="X74" s="39">
        <v>10.043183849096399</v>
      </c>
      <c r="Y74" s="39">
        <v>12.915289137132101</v>
      </c>
      <c r="Z74" s="39">
        <v>12.339810933008399</v>
      </c>
      <c r="AA74" s="39">
        <v>12.3480096422276</v>
      </c>
      <c r="AB74" s="39">
        <v>12.5286733258881</v>
      </c>
      <c r="AC74" s="39">
        <v>12.0933300912947</v>
      </c>
      <c r="AD74" s="39">
        <v>12.59797710592</v>
      </c>
      <c r="AE74" s="39">
        <v>10.9271120453318</v>
      </c>
      <c r="AF74" s="39">
        <v>8.8638383640773704</v>
      </c>
      <c r="AG74" s="39">
        <v>8.9202761632260703</v>
      </c>
      <c r="AH74" s="39">
        <v>8.9247758276719509</v>
      </c>
      <c r="AI74" s="39">
        <v>11.3974947446952</v>
      </c>
      <c r="AJ74" s="39">
        <v>9.2068871288457093</v>
      </c>
      <c r="AK74" s="39">
        <v>9.1759995644330203</v>
      </c>
      <c r="AL74" s="39">
        <v>7.1829514333450204</v>
      </c>
      <c r="AM74" s="39">
        <v>6.8087703220997602</v>
      </c>
      <c r="AN74" s="39">
        <v>7.4271187877008602</v>
      </c>
      <c r="AO74" s="39">
        <v>6.5547900446195104</v>
      </c>
      <c r="AP74" s="39">
        <v>6.3377111064253704</v>
      </c>
      <c r="AQ74" s="39">
        <v>6.1357880940094303</v>
      </c>
      <c r="AR74" s="39">
        <v>4.645583089614</v>
      </c>
      <c r="AS74" s="39">
        <v>4.2907802939198501</v>
      </c>
      <c r="AT74" s="39">
        <v>4.2807278546073197</v>
      </c>
      <c r="AU74" s="39">
        <v>4.8105934481368902</v>
      </c>
      <c r="AV74" s="39">
        <v>3.8935112917700598</v>
      </c>
      <c r="AW74" s="39">
        <v>4.0896212562048602</v>
      </c>
      <c r="AX74" s="39">
        <v>3.8100445103968501</v>
      </c>
      <c r="AY74" s="39">
        <v>3.9443117136176302</v>
      </c>
      <c r="AZ74" s="39">
        <v>4.0014545332910103</v>
      </c>
      <c r="BA74" s="39">
        <v>3.5462271949102999</v>
      </c>
      <c r="BB74" s="39">
        <v>3.3711167908352402</v>
      </c>
      <c r="BC74" s="39">
        <v>3.57134156281671</v>
      </c>
      <c r="BD74" s="39">
        <v>1.4821958834703901</v>
      </c>
      <c r="BE74" s="39">
        <v>1.5648410355134901</v>
      </c>
      <c r="BF74" s="39">
        <v>1.69137588779225</v>
      </c>
      <c r="BG74" s="39">
        <v>1.3307465934438401</v>
      </c>
      <c r="BH74" s="39">
        <v>1.23587391606317</v>
      </c>
      <c r="BI74" s="39">
        <v>1.11938983484634</v>
      </c>
      <c r="BJ74" s="39">
        <v>0.80432368797132203</v>
      </c>
      <c r="BK74" s="39">
        <v>1.1234108970137804</v>
      </c>
      <c r="BL74" s="39">
        <v>1.1734704022683899</v>
      </c>
      <c r="BM74" s="39">
        <v>1.1759302420358799</v>
      </c>
      <c r="BN74" s="39">
        <v>1.1123054809005499</v>
      </c>
      <c r="BO74" s="39">
        <v>1.24102941806038</v>
      </c>
      <c r="BP74" s="39">
        <v>1.1401372495573801</v>
      </c>
      <c r="BQ74" s="39">
        <v>1.4446927391923099</v>
      </c>
      <c r="BR74" s="34">
        <v>5.2441740982714098</v>
      </c>
      <c r="BS74" s="34">
        <v>4.3871008036599797</v>
      </c>
      <c r="BT74" s="34">
        <v>3.06397749229895</v>
      </c>
      <c r="BU74" s="34">
        <v>3.82340419832525</v>
      </c>
      <c r="BV74" s="34">
        <v>2.08634489910808</v>
      </c>
      <c r="BW74" s="34">
        <v>1.5065553672313901</v>
      </c>
      <c r="BX74" s="34">
        <v>1.3620884349320099</v>
      </c>
      <c r="BY74" s="34">
        <v>1.44810649625953</v>
      </c>
      <c r="BZ74" s="34">
        <v>1.3278099029289601</v>
      </c>
      <c r="CA74" s="34">
        <v>1.32144396645851</v>
      </c>
      <c r="CB74" s="34">
        <v>1.5795089464124199</v>
      </c>
      <c r="CC74" s="34">
        <v>1.5314246519400201</v>
      </c>
      <c r="CD74" s="34">
        <v>2.0378721445019199</v>
      </c>
      <c r="CE74" s="34">
        <v>4.26850541571463</v>
      </c>
      <c r="CF74" s="34">
        <v>4.2431713587564603</v>
      </c>
      <c r="CG74" s="34">
        <v>1.89846396735569</v>
      </c>
      <c r="CH74" s="34">
        <v>4.8117313392568102</v>
      </c>
      <c r="CI74" s="34">
        <v>3.6014941949266301</v>
      </c>
      <c r="CJ74" s="34">
        <v>1.62569817347282</v>
      </c>
      <c r="CK74" s="34">
        <v>1.9811378578516801</v>
      </c>
      <c r="CL74" s="34">
        <v>1.9897747794354499</v>
      </c>
      <c r="CM74" s="34">
        <v>4.1694162206516898</v>
      </c>
      <c r="CN74" s="34">
        <v>4.1109981435585503</v>
      </c>
      <c r="CO74" s="34">
        <v>2.3585576638779102</v>
      </c>
      <c r="CP74" s="34">
        <v>1.5572626306986399</v>
      </c>
      <c r="CQ74" s="34">
        <v>1.04093712965341</v>
      </c>
      <c r="CR74" s="34">
        <v>1.1421814828164201</v>
      </c>
      <c r="CS74" s="34">
        <v>1.36263469311827</v>
      </c>
      <c r="CT74" s="34">
        <v>1.27468945818159</v>
      </c>
      <c r="CU74" s="34">
        <v>1.53773870577445</v>
      </c>
      <c r="CV74" s="34">
        <v>0.95961320656620097</v>
      </c>
      <c r="CW74" s="34">
        <v>0.95773223857148704</v>
      </c>
      <c r="CX74" s="34">
        <v>1.2830700111223201</v>
      </c>
      <c r="CY74" s="34">
        <v>0.75672351046696995</v>
      </c>
      <c r="CZ74" s="34">
        <v>0.89884029298357704</v>
      </c>
      <c r="DA74" s="34">
        <v>0.72276618659010206</v>
      </c>
      <c r="DB74" s="34">
        <v>0.93601150312914605</v>
      </c>
      <c r="DC74" s="34">
        <v>1.0463303718813901</v>
      </c>
      <c r="DD74" s="34">
        <v>0.90176137215427299</v>
      </c>
      <c r="DE74" s="34">
        <v>1.06929090778683</v>
      </c>
      <c r="DF74" s="34">
        <v>1.03406932180931</v>
      </c>
      <c r="DG74" s="34">
        <v>1.7850760165627899</v>
      </c>
    </row>
    <row r="75" spans="1:111" s="30" customFormat="1" x14ac:dyDescent="0.3">
      <c r="A75" s="131" t="s">
        <v>39</v>
      </c>
      <c r="B75" s="143">
        <v>1460234.0697204811</v>
      </c>
      <c r="C75" s="143">
        <v>1979556.5204205997</v>
      </c>
      <c r="D75" s="143">
        <v>2115275.4007342397</v>
      </c>
      <c r="E75" s="143">
        <v>2087665.2395182</v>
      </c>
      <c r="F75" s="143">
        <v>2110518.4256463596</v>
      </c>
      <c r="G75" s="143">
        <v>2105097.2905039904</v>
      </c>
      <c r="H75" s="143">
        <v>2127047.0968298693</v>
      </c>
      <c r="I75" s="143">
        <v>2111928.8801456792</v>
      </c>
      <c r="J75" s="50">
        <v>2147128.56630112</v>
      </c>
      <c r="K75" s="50">
        <v>2151061.6233926099</v>
      </c>
      <c r="L75" s="50">
        <v>2104527.61524123</v>
      </c>
      <c r="M75" s="143">
        <v>2198702.5231804801</v>
      </c>
      <c r="N75" s="143">
        <v>2231546.2022558898</v>
      </c>
      <c r="O75" s="144">
        <v>2215021.8932375899</v>
      </c>
      <c r="P75" s="144">
        <v>2214106.3096156302</v>
      </c>
      <c r="Q75" s="144">
        <v>2228219.3951307</v>
      </c>
      <c r="R75" s="144">
        <v>2232963.0920221899</v>
      </c>
      <c r="S75" s="144">
        <v>2233776.3474061098</v>
      </c>
      <c r="T75" s="144">
        <v>2260321.6584520498</v>
      </c>
      <c r="U75" s="144">
        <v>2340584.2426969199</v>
      </c>
      <c r="V75" s="144">
        <v>2372301.8631119798</v>
      </c>
      <c r="W75" s="144">
        <v>2356226.1050531301</v>
      </c>
      <c r="X75" s="144">
        <v>2332231.4407341699</v>
      </c>
      <c r="Y75" s="144">
        <v>2322727.9071356901</v>
      </c>
      <c r="Z75" s="144">
        <v>2337762.3448468801</v>
      </c>
      <c r="AA75" s="144">
        <v>2317804.26584771</v>
      </c>
      <c r="AB75" s="144">
        <v>2317462.26985315</v>
      </c>
      <c r="AC75" s="144">
        <v>2298926.15327249</v>
      </c>
      <c r="AD75" s="144">
        <v>2281333.6004176298</v>
      </c>
      <c r="AE75" s="144">
        <v>2299280.01542434</v>
      </c>
      <c r="AF75" s="144">
        <v>2308075.4433398498</v>
      </c>
      <c r="AG75" s="144">
        <v>2321105.0286179502</v>
      </c>
      <c r="AH75" s="144">
        <v>2296523.1646654001</v>
      </c>
      <c r="AI75" s="144">
        <v>2337882.2069574599</v>
      </c>
      <c r="AJ75" s="144">
        <v>2344809.5681122099</v>
      </c>
      <c r="AK75" s="144">
        <v>2432955.0394466799</v>
      </c>
      <c r="AL75" s="144">
        <v>2522256.79062148</v>
      </c>
      <c r="AM75" s="144">
        <v>2532518.6649409402</v>
      </c>
      <c r="AN75" s="144">
        <v>2567372.2276872699</v>
      </c>
      <c r="AO75" s="144">
        <v>2550274.32763239</v>
      </c>
      <c r="AP75" s="144">
        <v>2592448.05702007</v>
      </c>
      <c r="AQ75" s="144">
        <v>2576999.6538134501</v>
      </c>
      <c r="AR75" s="144">
        <v>2671201.1073657498</v>
      </c>
      <c r="AS75" s="144">
        <v>2696311.6563744699</v>
      </c>
      <c r="AT75" s="144">
        <v>2716854.7997062099</v>
      </c>
      <c r="AU75" s="144">
        <v>2728298.8130257102</v>
      </c>
      <c r="AV75" s="144">
        <v>2742816.1673339801</v>
      </c>
      <c r="AW75" s="144">
        <v>2816958.38347237</v>
      </c>
      <c r="AX75" s="144">
        <v>2826352.0356125101</v>
      </c>
      <c r="AY75" s="144">
        <v>2851744.0895702499</v>
      </c>
      <c r="AZ75" s="144">
        <v>2864545.50785068</v>
      </c>
      <c r="BA75" s="144">
        <v>2910669.3493880499</v>
      </c>
      <c r="BB75" s="144">
        <v>2932108.2980208602</v>
      </c>
      <c r="BC75" s="144">
        <v>2931569.3325709598</v>
      </c>
      <c r="BD75" s="144">
        <v>2967925.91431901</v>
      </c>
      <c r="BE75" s="144">
        <v>2971315.3420427898</v>
      </c>
      <c r="BF75" s="144">
        <v>3000118.7796162898</v>
      </c>
      <c r="BG75" s="144">
        <v>3015465.5392920999</v>
      </c>
      <c r="BH75" s="144">
        <v>3068145.7929290398</v>
      </c>
      <c r="BI75" s="144">
        <v>3170655.8513600798</v>
      </c>
      <c r="BJ75" s="144">
        <v>3203043.30743969</v>
      </c>
      <c r="BK75" s="28">
        <v>2999561.02947299</v>
      </c>
      <c r="BL75" s="144">
        <v>2939810.5548545602</v>
      </c>
      <c r="BM75" s="144">
        <v>2971873.34713862</v>
      </c>
      <c r="BN75" s="144">
        <v>2974378.3101466699</v>
      </c>
      <c r="BO75" s="144">
        <v>3013777.9879894</v>
      </c>
      <c r="BP75" s="144">
        <v>3255079.59247179</v>
      </c>
      <c r="BQ75" s="144">
        <v>3245388.6364034899</v>
      </c>
      <c r="BR75" s="144">
        <v>3263868.0243495698</v>
      </c>
      <c r="BS75" s="144">
        <v>3319091.81570605</v>
      </c>
      <c r="BT75" s="144">
        <v>3361528.4128566999</v>
      </c>
      <c r="BU75" s="144">
        <v>3446529.5885622399</v>
      </c>
      <c r="BV75" s="144">
        <v>3472292.08462147</v>
      </c>
      <c r="BW75" s="144">
        <v>3512221.9950925899</v>
      </c>
      <c r="BX75" s="144">
        <v>3530530.7054364202</v>
      </c>
      <c r="BY75" s="144">
        <v>3593244.0293879202</v>
      </c>
      <c r="BZ75" s="144">
        <v>3621025.2125200699</v>
      </c>
      <c r="CA75" s="144">
        <v>3703660.5520321899</v>
      </c>
      <c r="CB75" s="144">
        <v>3770932.4211071199</v>
      </c>
      <c r="CC75" s="144">
        <v>3767115.6387070101</v>
      </c>
      <c r="CD75" s="144">
        <v>3798917.9374923301</v>
      </c>
      <c r="CE75" s="144">
        <v>3846132.8906656201</v>
      </c>
      <c r="CF75" s="144">
        <v>3956749.4836685001</v>
      </c>
      <c r="CG75" s="144">
        <v>4213397.6524882</v>
      </c>
      <c r="CH75" s="144">
        <v>4158941.3273612899</v>
      </c>
      <c r="CI75" s="144">
        <v>4204567.0689641098</v>
      </c>
      <c r="CJ75" s="144">
        <v>4287789.78807515</v>
      </c>
      <c r="CK75" s="144">
        <v>4310493.7730940301</v>
      </c>
      <c r="CL75" s="144">
        <v>4378516.0023391601</v>
      </c>
      <c r="CM75" s="51">
        <v>4444438.3647496803</v>
      </c>
      <c r="CN75" s="51">
        <v>4484863.4835104002</v>
      </c>
      <c r="CO75" s="51">
        <v>4499119.0432114899</v>
      </c>
      <c r="CP75" s="51">
        <v>4534518.5050840396</v>
      </c>
      <c r="CQ75" s="51">
        <v>4607394.5868378198</v>
      </c>
      <c r="CR75" s="51">
        <v>4647053.2247368097</v>
      </c>
      <c r="CS75" s="51">
        <v>4819427.9022148298</v>
      </c>
      <c r="CT75" s="51">
        <v>4793241.7433274696</v>
      </c>
      <c r="CU75" s="51">
        <v>4809467.9208822902</v>
      </c>
      <c r="CV75" s="51">
        <v>4804793.3639713796</v>
      </c>
      <c r="CW75" s="51">
        <v>4900271.4722373504</v>
      </c>
      <c r="CX75" s="51">
        <v>4917992.1314958399</v>
      </c>
      <c r="CY75" s="51">
        <v>4989471.5999871902</v>
      </c>
      <c r="CZ75" s="51">
        <v>5022907.4410267798</v>
      </c>
      <c r="DA75" s="51">
        <v>5075712.7013553903</v>
      </c>
      <c r="DB75" s="51">
        <v>5157959.1057746597</v>
      </c>
      <c r="DC75" s="51">
        <v>5227808.6478978395</v>
      </c>
      <c r="DD75" s="51">
        <v>5340705.6143806502</v>
      </c>
      <c r="DE75" s="51">
        <v>5430152.4454279896</v>
      </c>
      <c r="DF75" s="51">
        <v>5430431.0863244701</v>
      </c>
      <c r="DG75" s="51">
        <v>5459589.9662665697</v>
      </c>
    </row>
    <row r="76" spans="1:111" s="30" customFormat="1" x14ac:dyDescent="0.3">
      <c r="A76" s="132" t="s">
        <v>26</v>
      </c>
      <c r="B76" s="80">
        <v>461918.27289768006</v>
      </c>
      <c r="C76" s="80">
        <v>608650.68547801988</v>
      </c>
      <c r="D76" s="80">
        <v>602410.92797069962</v>
      </c>
      <c r="E76" s="80">
        <v>601635.15991431929</v>
      </c>
      <c r="F76" s="80">
        <v>606373.9450010201</v>
      </c>
      <c r="G76" s="80">
        <v>620185.14434476988</v>
      </c>
      <c r="H76" s="80">
        <v>624905.32830335014</v>
      </c>
      <c r="I76" s="80">
        <v>618007.45236167999</v>
      </c>
      <c r="J76" s="54">
        <v>623281.87260741997</v>
      </c>
      <c r="K76" s="125">
        <v>624249.08993222006</v>
      </c>
      <c r="L76" s="54">
        <v>615330.25099397998</v>
      </c>
      <c r="M76" s="80">
        <v>622816.92354124004</v>
      </c>
      <c r="N76" s="53">
        <v>668236.52680879005</v>
      </c>
      <c r="O76" s="80">
        <v>652197.93268976</v>
      </c>
      <c r="P76" s="80">
        <v>657540.30733017996</v>
      </c>
      <c r="Q76" s="80">
        <v>655750.36500095006</v>
      </c>
      <c r="R76" s="80">
        <v>654848.67118742003</v>
      </c>
      <c r="S76" s="80">
        <v>652383.38874156994</v>
      </c>
      <c r="T76" s="80">
        <v>658813.95337514998</v>
      </c>
      <c r="U76" s="80">
        <v>683283.35752139997</v>
      </c>
      <c r="V76" s="80">
        <v>689952.67449381005</v>
      </c>
      <c r="W76" s="80">
        <v>693000.41668386001</v>
      </c>
      <c r="X76" s="80">
        <v>690831.59661178</v>
      </c>
      <c r="Y76" s="80">
        <v>658189.79651149001</v>
      </c>
      <c r="Z76" s="80">
        <v>660177.06939253001</v>
      </c>
      <c r="AA76" s="80">
        <v>634839.27978665999</v>
      </c>
      <c r="AB76" s="80">
        <v>638391.99083360995</v>
      </c>
      <c r="AC76" s="80">
        <v>626983.35101470002</v>
      </c>
      <c r="AD76" s="80">
        <v>616207.56607395003</v>
      </c>
      <c r="AE76" s="80">
        <v>607816.49546488002</v>
      </c>
      <c r="AF76" s="80">
        <v>595747.75012591004</v>
      </c>
      <c r="AG76" s="80">
        <v>590716.27440569003</v>
      </c>
      <c r="AH76" s="80">
        <v>571707.35710838996</v>
      </c>
      <c r="AI76" s="80">
        <v>583471.71794044005</v>
      </c>
      <c r="AJ76" s="80">
        <v>572365.61642128997</v>
      </c>
      <c r="AK76" s="80">
        <v>552577.00824789004</v>
      </c>
      <c r="AL76" s="80">
        <v>566222.53567387001</v>
      </c>
      <c r="AM76" s="80">
        <v>560932.78956842003</v>
      </c>
      <c r="AN76" s="80">
        <v>598158.43356252997</v>
      </c>
      <c r="AO76" s="80">
        <v>584423.59121013002</v>
      </c>
      <c r="AP76" s="80">
        <v>583566.77069128002</v>
      </c>
      <c r="AQ76" s="80">
        <v>558090.61362475995</v>
      </c>
      <c r="AR76" s="80">
        <v>568462.70422312</v>
      </c>
      <c r="AS76" s="80">
        <v>569549.71068855003</v>
      </c>
      <c r="AT76" s="80">
        <v>532142.04478624999</v>
      </c>
      <c r="AU76" s="80">
        <v>494148.97992273001</v>
      </c>
      <c r="AV76" s="80">
        <v>471114.29504743998</v>
      </c>
      <c r="AW76" s="80">
        <v>452642.02196877002</v>
      </c>
      <c r="AX76" s="80">
        <v>455759.93306304998</v>
      </c>
      <c r="AY76" s="80">
        <v>450168.58498320001</v>
      </c>
      <c r="AZ76" s="80">
        <v>444998.99035987997</v>
      </c>
      <c r="BA76" s="80">
        <v>448389.45403978002</v>
      </c>
      <c r="BB76" s="80">
        <v>431073.12005342997</v>
      </c>
      <c r="BC76" s="80">
        <v>423370.40105465002</v>
      </c>
      <c r="BD76" s="80">
        <v>409958.60830712999</v>
      </c>
      <c r="BE76" s="80">
        <v>407674.54241654999</v>
      </c>
      <c r="BF76" s="80">
        <v>389222.35475305002</v>
      </c>
      <c r="BG76" s="80">
        <v>386009.92758066999</v>
      </c>
      <c r="BH76" s="80">
        <v>367953.44103127002</v>
      </c>
      <c r="BI76" s="80">
        <v>354041.97124797001</v>
      </c>
      <c r="BJ76" s="80">
        <v>360000.2019482</v>
      </c>
      <c r="BK76" s="29">
        <v>313354.79959520017</v>
      </c>
      <c r="BL76" s="80">
        <v>314681.21314964001</v>
      </c>
      <c r="BM76" s="80">
        <v>318406.08263711998</v>
      </c>
      <c r="BN76" s="80">
        <v>326020.82906324998</v>
      </c>
      <c r="BO76" s="80">
        <v>348876.00382750999</v>
      </c>
      <c r="BP76" s="80">
        <v>374138.72259884002</v>
      </c>
      <c r="BQ76" s="80">
        <v>379822.87721573998</v>
      </c>
      <c r="BR76" s="80">
        <v>417231.34800691</v>
      </c>
      <c r="BS76" s="80">
        <v>434191.76466412999</v>
      </c>
      <c r="BT76" s="80">
        <v>444504.77779055003</v>
      </c>
      <c r="BU76" s="80">
        <v>447829.46193744999</v>
      </c>
      <c r="BV76" s="80">
        <v>450957.78742310998</v>
      </c>
      <c r="BW76" s="80">
        <v>447272.42228613998</v>
      </c>
      <c r="BX76" s="80">
        <v>446773.16157954</v>
      </c>
      <c r="BY76" s="80">
        <v>447641.43836991</v>
      </c>
      <c r="BZ76" s="80">
        <v>440033.45956390002</v>
      </c>
      <c r="CA76" s="80">
        <v>437549.66291434999</v>
      </c>
      <c r="CB76" s="80">
        <v>442020.62557079998</v>
      </c>
      <c r="CC76" s="80">
        <v>436672.18701092002</v>
      </c>
      <c r="CD76" s="80">
        <v>433438.72849790001</v>
      </c>
      <c r="CE76" s="80">
        <v>438133.24201504001</v>
      </c>
      <c r="CF76" s="80">
        <v>436243.08702029998</v>
      </c>
      <c r="CG76" s="80">
        <v>433123.76511281001</v>
      </c>
      <c r="CH76" s="80">
        <v>432984.73105577001</v>
      </c>
      <c r="CI76" s="80">
        <v>431541.91299952002</v>
      </c>
      <c r="CJ76" s="80">
        <v>431550.68091446999</v>
      </c>
      <c r="CK76" s="80">
        <v>430867.58174956002</v>
      </c>
      <c r="CL76" s="80">
        <v>431558.18662668002</v>
      </c>
      <c r="CM76" s="80">
        <v>432276.99020185001</v>
      </c>
      <c r="CN76" s="80">
        <v>430615.32791634998</v>
      </c>
      <c r="CO76" s="80">
        <v>428115.87323147</v>
      </c>
      <c r="CP76" s="80">
        <v>425304.67141082999</v>
      </c>
      <c r="CQ76" s="80">
        <v>424335.73153009999</v>
      </c>
      <c r="CR76" s="80">
        <v>423948.27527968999</v>
      </c>
      <c r="CS76" s="80">
        <v>404881.98602100002</v>
      </c>
      <c r="CT76" s="80">
        <v>407941.46841994999</v>
      </c>
      <c r="CU76" s="80">
        <v>406892.71615806001</v>
      </c>
      <c r="CV76" s="80">
        <v>394182.13840438001</v>
      </c>
      <c r="CW76" s="80">
        <v>396313.30682703998</v>
      </c>
      <c r="CX76" s="80">
        <v>396258.08413151</v>
      </c>
      <c r="CY76" s="80">
        <v>396131.74389163998</v>
      </c>
      <c r="CZ76" s="80">
        <v>387734.10156817001</v>
      </c>
      <c r="DA76" s="80">
        <v>384814.41346144001</v>
      </c>
      <c r="DB76" s="80">
        <v>380648.58595461003</v>
      </c>
      <c r="DC76" s="80">
        <v>385160.53911245998</v>
      </c>
      <c r="DD76" s="80">
        <v>383528.28694646998</v>
      </c>
      <c r="DE76" s="80">
        <v>203549.65695408001</v>
      </c>
      <c r="DF76" s="80">
        <v>208415.18155019</v>
      </c>
      <c r="DG76" s="80">
        <v>203175.786762</v>
      </c>
    </row>
    <row r="77" spans="1:111" s="40" customFormat="1" x14ac:dyDescent="0.3">
      <c r="A77" s="145" t="s">
        <v>27</v>
      </c>
      <c r="B77" s="146">
        <v>31.633166385858996</v>
      </c>
      <c r="C77" s="146">
        <v>30.746820270062248</v>
      </c>
      <c r="D77" s="146">
        <v>28.479077843083456</v>
      </c>
      <c r="E77" s="146">
        <v>28.818564802715553</v>
      </c>
      <c r="F77" s="146">
        <v>28.731042460115656</v>
      </c>
      <c r="G77" s="146">
        <v>29.461115509596645</v>
      </c>
      <c r="H77" s="146">
        <v>29.379007603296753</v>
      </c>
      <c r="I77" s="146">
        <v>29.262701891696764</v>
      </c>
      <c r="J77" s="147">
        <v>29.028623734495508</v>
      </c>
      <c r="K77" s="148">
        <v>29.0205116926249</v>
      </c>
      <c r="L77" s="147">
        <v>29.238402315925299</v>
      </c>
      <c r="M77" s="146">
        <v>28.326566098642498</v>
      </c>
      <c r="N77" s="146">
        <v>29.945000741336401</v>
      </c>
      <c r="O77" s="149">
        <v>29.444310897373299</v>
      </c>
      <c r="P77" s="149">
        <v>29.697774875332399</v>
      </c>
      <c r="Q77" s="149">
        <v>29.429344634283002</v>
      </c>
      <c r="R77" s="149">
        <v>29.3264440208183</v>
      </c>
      <c r="S77" s="149">
        <v>29.205403195316599</v>
      </c>
      <c r="T77" s="149">
        <v>29.1469114987081</v>
      </c>
      <c r="U77" s="149">
        <v>29.192854717935401</v>
      </c>
      <c r="V77" s="149">
        <v>29.083679662449502</v>
      </c>
      <c r="W77" s="149">
        <v>29.4114565320222</v>
      </c>
      <c r="X77" s="149">
        <v>29.621056664698401</v>
      </c>
      <c r="Y77" s="149">
        <v>28.336930661979601</v>
      </c>
      <c r="Z77" s="149">
        <v>28.239699850061999</v>
      </c>
      <c r="AA77" s="149">
        <v>27.389684674450901</v>
      </c>
      <c r="AB77" s="149">
        <v>27.547028451689201</v>
      </c>
      <c r="AC77" s="149">
        <v>27.272879127596099</v>
      </c>
      <c r="AD77" s="149">
        <v>27.010848652785601</v>
      </c>
      <c r="AE77" s="149">
        <v>26.4350793025401</v>
      </c>
      <c r="AF77" s="149">
        <v>25.811450481178699</v>
      </c>
      <c r="AG77" s="149">
        <v>25.4497865078263</v>
      </c>
      <c r="AH77" s="149">
        <v>24.894473781268701</v>
      </c>
      <c r="AI77" s="149">
        <v>24.957276128114898</v>
      </c>
      <c r="AJ77" s="149">
        <v>24.409897682313598</v>
      </c>
      <c r="AK77" s="149">
        <v>22.712175082921402</v>
      </c>
      <c r="AL77" s="149">
        <v>22.4490439585398</v>
      </c>
      <c r="AM77" s="149">
        <v>22.149206532363401</v>
      </c>
      <c r="AN77" s="149">
        <v>23.298469427682502</v>
      </c>
      <c r="AO77" s="149">
        <v>22.916106901828599</v>
      </c>
      <c r="AP77" s="149">
        <v>22.510258946598501</v>
      </c>
      <c r="AQ77" s="149">
        <v>21.656604136476901</v>
      </c>
      <c r="AR77" s="149">
        <v>21.2811645912995</v>
      </c>
      <c r="AS77" s="149">
        <v>21.123289265988699</v>
      </c>
      <c r="AT77" s="149">
        <v>19.5866943218237</v>
      </c>
      <c r="AU77" s="149">
        <v>18.111981633518901</v>
      </c>
      <c r="AV77" s="149">
        <v>17.176298603539401</v>
      </c>
      <c r="AW77" s="149">
        <v>16.068466776950199</v>
      </c>
      <c r="AX77" s="149">
        <v>16.125377423633001</v>
      </c>
      <c r="AY77" s="149">
        <v>15.785728692473199</v>
      </c>
      <c r="AZ77" s="149">
        <v>15.5347153375745</v>
      </c>
      <c r="BA77" s="149">
        <v>15.405028885677099</v>
      </c>
      <c r="BB77" s="149">
        <v>14.7018144024353</v>
      </c>
      <c r="BC77" s="149">
        <v>14.441766611174</v>
      </c>
      <c r="BD77" s="149">
        <v>13.812966365812899</v>
      </c>
      <c r="BE77" s="149">
        <v>13.720339159164199</v>
      </c>
      <c r="BF77" s="149">
        <v>12.973564826751</v>
      </c>
      <c r="BG77" s="149">
        <v>12.8010060984245</v>
      </c>
      <c r="BH77" s="149">
        <v>11.9926974095973</v>
      </c>
      <c r="BI77" s="149">
        <v>11.1662062313102</v>
      </c>
      <c r="BJ77" s="149">
        <v>11.239317342729301</v>
      </c>
      <c r="BK77" s="148">
        <v>10.446688582637549</v>
      </c>
      <c r="BL77" s="149">
        <v>10.7041323676453</v>
      </c>
      <c r="BM77" s="149">
        <v>10.71398560587</v>
      </c>
      <c r="BN77" s="149">
        <v>10.960973859682699</v>
      </c>
      <c r="BO77" s="149">
        <v>11.5760353024629</v>
      </c>
      <c r="BP77" s="149">
        <v>11.4939961365041</v>
      </c>
      <c r="BQ77" s="149">
        <v>11.7034635838454</v>
      </c>
      <c r="BR77" s="149">
        <v>12.783340039922599</v>
      </c>
      <c r="BS77" s="149">
        <v>13.0816436776326</v>
      </c>
      <c r="BT77" s="149">
        <v>13.2232937877446</v>
      </c>
      <c r="BU77" s="149">
        <v>12.9936346237569</v>
      </c>
      <c r="BV77" s="149">
        <v>12.9873229680294</v>
      </c>
      <c r="BW77" s="149">
        <v>12.7347423628428</v>
      </c>
      <c r="BX77" s="149">
        <v>12.6545609953649</v>
      </c>
      <c r="BY77" s="149">
        <v>12.4578635547378</v>
      </c>
      <c r="BZ77" s="149">
        <v>12.1521788371547</v>
      </c>
      <c r="CA77" s="149">
        <v>11.8139785427762</v>
      </c>
      <c r="CB77" s="149">
        <v>11.7217859194895</v>
      </c>
      <c r="CC77" s="149">
        <v>11.591685227926799</v>
      </c>
      <c r="CD77" s="149">
        <v>11.409531230464401</v>
      </c>
      <c r="CE77" s="149">
        <v>11.391526358290101</v>
      </c>
      <c r="CF77" s="149">
        <v>11.0252895418549</v>
      </c>
      <c r="CG77" s="149">
        <v>10.279679271597599</v>
      </c>
      <c r="CH77" s="149">
        <v>10.410936268978</v>
      </c>
      <c r="CI77" s="149">
        <v>10.263646789818999</v>
      </c>
      <c r="CJ77" s="149">
        <v>10.0646417442073</v>
      </c>
      <c r="CK77" s="149">
        <v>9.9957824887492492</v>
      </c>
      <c r="CL77" s="149">
        <v>9.8562660590055202</v>
      </c>
      <c r="CM77" s="149">
        <v>9.7262455843776099</v>
      </c>
      <c r="CN77" s="149">
        <v>9.6015258769771492</v>
      </c>
      <c r="CO77" s="149">
        <v>9.51554891345749</v>
      </c>
      <c r="CP77" s="149">
        <v>9.3792686243089403</v>
      </c>
      <c r="CQ77" s="149">
        <v>9.2098847522702201</v>
      </c>
      <c r="CR77" s="149">
        <v>9.1229485606698795</v>
      </c>
      <c r="CS77" s="149">
        <v>8.4010383438858192</v>
      </c>
      <c r="CT77" s="149">
        <v>8.5107634929499092</v>
      </c>
      <c r="CU77" s="149">
        <v>8.4602438949923595</v>
      </c>
      <c r="CV77" s="149">
        <v>8.2039352901239102</v>
      </c>
      <c r="CW77" s="149">
        <v>8.0875785978871999</v>
      </c>
      <c r="CX77" s="149">
        <v>8.0573143172351003</v>
      </c>
      <c r="CY77" s="149">
        <v>7.9393526138650996</v>
      </c>
      <c r="CZ77" s="149">
        <v>7.7193160758086696</v>
      </c>
      <c r="DA77" s="149">
        <v>7.5814853224194803</v>
      </c>
      <c r="DB77" s="149">
        <v>7.3798294664346997</v>
      </c>
      <c r="DC77" s="149">
        <v>7.3675332257491304</v>
      </c>
      <c r="DD77" s="149">
        <v>7.1812287483841599</v>
      </c>
      <c r="DE77" s="149">
        <v>3.7485072288433101</v>
      </c>
      <c r="DF77" s="149">
        <v>3.8379122805746499</v>
      </c>
      <c r="DG77" s="149">
        <v>3.7214477280779699</v>
      </c>
    </row>
    <row r="79" spans="1:111" x14ac:dyDescent="0.3">
      <c r="A79" s="150" t="s">
        <v>40</v>
      </c>
      <c r="B79" s="2"/>
      <c r="C79" s="2"/>
      <c r="D79" s="2"/>
      <c r="E79" s="122"/>
      <c r="F79" s="2"/>
      <c r="G79" s="2"/>
      <c r="H79" s="2"/>
      <c r="I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</row>
    <row r="80" spans="1:111" x14ac:dyDescent="0.3">
      <c r="A80" s="151"/>
      <c r="B80" s="122"/>
      <c r="C80" s="122"/>
      <c r="D80" s="122"/>
      <c r="E80" s="122"/>
      <c r="F80" s="2"/>
      <c r="G80" s="2"/>
      <c r="H80" s="2"/>
      <c r="I80" s="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2"/>
      <c r="AL80" s="122"/>
      <c r="AM80" s="122"/>
      <c r="AN80" s="122"/>
      <c r="AO80" s="122"/>
      <c r="AP80" s="122"/>
      <c r="AQ80" s="122"/>
      <c r="AR80" s="122"/>
      <c r="AS80" s="122"/>
      <c r="AT80" s="122"/>
      <c r="AU80" s="122"/>
      <c r="AV80" s="122"/>
      <c r="AW80" s="122"/>
      <c r="AX80" s="122"/>
      <c r="AY80" s="122"/>
      <c r="AZ80" s="122"/>
      <c r="BA80" s="122"/>
      <c r="BB80" s="122"/>
      <c r="BC80" s="122"/>
      <c r="BD80" s="122"/>
      <c r="BE80" s="122"/>
      <c r="BF80" s="122"/>
      <c r="BG80" s="122"/>
      <c r="BH80" s="122"/>
      <c r="BI80" s="122"/>
      <c r="BJ80" s="122"/>
      <c r="BK80" s="122"/>
      <c r="BL80" s="122"/>
      <c r="BM80" s="122"/>
      <c r="BN80" s="122"/>
      <c r="BO80" s="122"/>
      <c r="BP80" s="122"/>
      <c r="BQ80" s="122"/>
      <c r="BR80" s="122"/>
      <c r="BS80" s="122"/>
      <c r="BT80" s="122"/>
      <c r="BU80" s="122"/>
      <c r="BV80" s="122"/>
      <c r="BW80" s="122"/>
      <c r="BX80" s="122"/>
      <c r="BY80" s="122"/>
      <c r="BZ80" s="122"/>
      <c r="CA80" s="122"/>
      <c r="CB80" s="122"/>
      <c r="CC80" s="122"/>
      <c r="CD80" s="122"/>
      <c r="CE80" s="122"/>
      <c r="CF80" s="122"/>
      <c r="CG80" s="122"/>
      <c r="CH80" s="122"/>
      <c r="CI80" s="122"/>
      <c r="CJ80" s="122"/>
      <c r="CK80" s="122"/>
      <c r="CL80" s="122"/>
      <c r="CM80" s="122"/>
      <c r="CN80" s="122"/>
      <c r="CO80" s="122"/>
      <c r="CP80" s="122"/>
      <c r="CQ80" s="122"/>
      <c r="CR80" s="122"/>
      <c r="CS80" s="122"/>
      <c r="CT80" s="122"/>
      <c r="CU80" s="122"/>
      <c r="CV80" s="122"/>
      <c r="CW80" s="122"/>
      <c r="CX80" s="122"/>
      <c r="CY80" s="122"/>
      <c r="CZ80" s="122"/>
      <c r="DA80" s="122"/>
      <c r="DB80" s="122"/>
      <c r="DC80" s="122"/>
      <c r="DD80" s="122"/>
      <c r="DE80" s="122"/>
      <c r="DF80" s="122"/>
    </row>
    <row r="81" spans="1:110" ht="107.25" customHeight="1" x14ac:dyDescent="0.3">
      <c r="A81" s="206" t="s">
        <v>41</v>
      </c>
      <c r="B81" s="206"/>
      <c r="C81" s="206"/>
      <c r="D81" s="206"/>
      <c r="E81" s="206"/>
      <c r="F81" s="206"/>
      <c r="G81" s="206"/>
      <c r="H81" s="206"/>
      <c r="I81" s="206"/>
      <c r="J81" s="152"/>
      <c r="K81" s="152"/>
      <c r="L81" s="152"/>
      <c r="M81" s="152"/>
      <c r="N81" s="153"/>
      <c r="O81" s="153"/>
      <c r="P81" s="153"/>
      <c r="Q81" s="153"/>
      <c r="R81" s="153"/>
      <c r="S81" s="153"/>
      <c r="T81" s="153"/>
      <c r="U81" s="153"/>
      <c r="V81" s="153"/>
      <c r="W81" s="153"/>
      <c r="X81" s="153"/>
      <c r="Y81" s="153"/>
      <c r="Z81" s="153"/>
      <c r="AA81" s="153"/>
      <c r="AB81" s="153"/>
      <c r="AC81" s="153"/>
      <c r="AD81" s="153"/>
      <c r="AE81" s="153"/>
      <c r="AF81" s="153"/>
      <c r="AG81" s="153"/>
      <c r="AH81" s="153"/>
      <c r="AI81" s="153"/>
      <c r="AJ81" s="153"/>
      <c r="AK81" s="153"/>
      <c r="AL81" s="153"/>
      <c r="AM81" s="153"/>
      <c r="AN81" s="153"/>
      <c r="AO81" s="153"/>
      <c r="AP81" s="153"/>
      <c r="AQ81" s="153"/>
      <c r="AR81" s="153"/>
      <c r="AS81" s="153"/>
      <c r="AT81" s="153"/>
      <c r="AU81" s="153"/>
      <c r="AV81" s="153"/>
      <c r="AW81" s="153"/>
      <c r="AX81" s="153"/>
      <c r="AY81" s="153"/>
      <c r="AZ81" s="153"/>
      <c r="BA81" s="153"/>
      <c r="BB81" s="153"/>
      <c r="BC81" s="153"/>
      <c r="BD81" s="153"/>
      <c r="BE81" s="153"/>
      <c r="BF81" s="153"/>
      <c r="BG81" s="153"/>
      <c r="BH81" s="153"/>
      <c r="BI81" s="153"/>
      <c r="BJ81" s="153"/>
      <c r="BK81" s="153"/>
      <c r="BL81" s="153"/>
      <c r="BM81" s="153"/>
      <c r="BN81" s="153"/>
      <c r="BO81" s="153"/>
      <c r="BP81" s="153"/>
      <c r="BQ81" s="153"/>
      <c r="BR81" s="153"/>
      <c r="BS81" s="153"/>
      <c r="BT81" s="153"/>
      <c r="BU81" s="153"/>
      <c r="BV81" s="153"/>
      <c r="BW81" s="153"/>
      <c r="BX81" s="153"/>
      <c r="BY81" s="153"/>
      <c r="BZ81" s="153"/>
      <c r="CA81" s="153"/>
      <c r="CB81" s="153"/>
      <c r="CC81" s="153"/>
      <c r="CD81" s="153"/>
      <c r="CE81" s="153"/>
      <c r="CF81" s="153"/>
      <c r="CG81" s="153"/>
      <c r="CH81" s="153"/>
      <c r="CI81" s="153"/>
      <c r="CJ81" s="153"/>
      <c r="CK81" s="153"/>
      <c r="CL81" s="153"/>
      <c r="CM81" s="153"/>
      <c r="CN81" s="153"/>
      <c r="CO81" s="153"/>
      <c r="CP81" s="153"/>
      <c r="CQ81" s="153"/>
      <c r="CR81" s="153"/>
      <c r="CS81" s="153"/>
      <c r="CT81" s="153"/>
      <c r="CU81" s="153"/>
      <c r="CV81" s="153"/>
      <c r="CW81" s="153"/>
      <c r="CX81" s="153"/>
      <c r="CY81" s="153"/>
      <c r="CZ81" s="153"/>
      <c r="DA81" s="153"/>
      <c r="DB81" s="153"/>
      <c r="DC81" s="153"/>
      <c r="DD81" s="153"/>
      <c r="DE81" s="153"/>
      <c r="DF81" s="153"/>
    </row>
    <row r="82" spans="1:110" ht="17.25" customHeight="1" x14ac:dyDescent="0.3">
      <c r="A82" s="154" t="s">
        <v>42</v>
      </c>
      <c r="B82" s="154"/>
      <c r="C82" s="154"/>
      <c r="D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4"/>
      <c r="CS82" s="154"/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</row>
    <row r="83" spans="1:110" x14ac:dyDescent="0.3">
      <c r="A83" s="155" t="s">
        <v>43</v>
      </c>
      <c r="B83" s="154"/>
      <c r="C83" s="154"/>
      <c r="D83" s="154"/>
    </row>
    <row r="87" spans="1:110" x14ac:dyDescent="0.3">
      <c r="I87" s="30"/>
      <c r="J87" s="30"/>
      <c r="K87" s="30"/>
      <c r="L87" s="30"/>
    </row>
    <row r="90" spans="1:110" x14ac:dyDescent="0.3">
      <c r="I90" s="30"/>
      <c r="J90" s="30"/>
      <c r="K90" s="30"/>
      <c r="L90" s="30"/>
    </row>
  </sheetData>
  <mergeCells count="3">
    <mergeCell ref="A3:A4"/>
    <mergeCell ref="M3:DG3"/>
    <mergeCell ref="A81:I81"/>
  </mergeCells>
  <pageMargins left="0.43307086614173229" right="0.23622047244094491" top="0.55118110236220474" bottom="0.55118110236220474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DG89"/>
  <sheetViews>
    <sheetView zoomScale="70" zoomScaleNormal="70" workbookViewId="0">
      <pane xSplit="1" ySplit="4" topLeftCell="B5" activePane="bottomRight" state="frozenSplit"/>
      <selection activeCell="M3" sqref="M3:DG3"/>
      <selection pane="topRight" activeCell="M3" sqref="M3:DG3"/>
      <selection pane="bottomLeft" activeCell="M3" sqref="M3:DG3"/>
      <selection pane="bottomRight" activeCell="M4" sqref="M4"/>
    </sheetView>
  </sheetViews>
  <sheetFormatPr defaultColWidth="8.88671875" defaultRowHeight="14.4" outlineLevelCol="1" x14ac:dyDescent="0.3"/>
  <cols>
    <col min="1" max="1" width="55.33203125" style="1" customWidth="1"/>
    <col min="2" max="4" width="12.6640625" style="4" hidden="1" customWidth="1" outlineLevel="1"/>
    <col min="5" max="5" width="12.6640625" style="30" hidden="1" customWidth="1" outlineLevel="1"/>
    <col min="6" max="12" width="12.6640625" style="4" hidden="1" customWidth="1" outlineLevel="1"/>
    <col min="13" max="13" width="12.6640625" style="4" customWidth="1" collapsed="1"/>
    <col min="14" max="24" width="12.6640625" style="4" hidden="1" customWidth="1" outlineLevel="1"/>
    <col min="25" max="25" width="12.6640625" style="4" customWidth="1" collapsed="1"/>
    <col min="26" max="36" width="12.6640625" style="4" hidden="1" customWidth="1" outlineLevel="1"/>
    <col min="37" max="37" width="12.6640625" style="4" customWidth="1" collapsed="1"/>
    <col min="38" max="48" width="12.6640625" style="4" hidden="1" customWidth="1" outlineLevel="1"/>
    <col min="49" max="49" width="12.6640625" style="4" customWidth="1" collapsed="1"/>
    <col min="50" max="60" width="12.6640625" style="4" hidden="1" customWidth="1" outlineLevel="1"/>
    <col min="61" max="61" width="12.6640625" style="4" customWidth="1" collapsed="1"/>
    <col min="62" max="72" width="12.6640625" style="4" hidden="1" customWidth="1" outlineLevel="1"/>
    <col min="73" max="73" width="12.6640625" style="4" customWidth="1" collapsed="1"/>
    <col min="74" max="84" width="12.6640625" style="4" hidden="1" customWidth="1" outlineLevel="1"/>
    <col min="85" max="85" width="12.6640625" style="4" customWidth="1" collapsed="1"/>
    <col min="86" max="96" width="12.6640625" style="4" hidden="1" customWidth="1" outlineLevel="1"/>
    <col min="97" max="97" width="12.6640625" style="4" customWidth="1" collapsed="1"/>
    <col min="98" max="108" width="12.6640625" style="4" hidden="1" customWidth="1" outlineLevel="1"/>
    <col min="109" max="109" width="12.6640625" style="4" customWidth="1" collapsed="1"/>
    <col min="110" max="111" width="12.6640625" style="4" customWidth="1"/>
    <col min="112" max="16384" width="8.88671875" style="4"/>
  </cols>
  <sheetData>
    <row r="1" spans="1:111" x14ac:dyDescent="0.3">
      <c r="A1" s="1" t="s">
        <v>0</v>
      </c>
      <c r="B1" s="2"/>
      <c r="C1" s="2"/>
      <c r="D1" s="2"/>
      <c r="E1" s="3"/>
      <c r="F1" s="2"/>
      <c r="G1" s="2"/>
      <c r="H1" s="2"/>
      <c r="I1" s="3"/>
      <c r="J1" s="3"/>
      <c r="K1" s="3"/>
      <c r="L1" s="3"/>
      <c r="DC1" s="3"/>
      <c r="DD1" s="3"/>
      <c r="DE1" s="3"/>
      <c r="DF1" s="3"/>
      <c r="DG1" s="3" t="s">
        <v>1</v>
      </c>
    </row>
    <row r="2" spans="1:111" s="10" customFormat="1" x14ac:dyDescent="0.3">
      <c r="A2" s="5"/>
      <c r="B2" s="6"/>
      <c r="C2" s="6"/>
      <c r="D2" s="6"/>
      <c r="E2" s="7"/>
      <c r="F2" s="7"/>
      <c r="G2" s="7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9"/>
      <c r="DD2" s="9"/>
      <c r="DE2" s="9"/>
      <c r="DF2" s="9"/>
      <c r="DG2" s="9"/>
    </row>
    <row r="3" spans="1:111" s="1" customFormat="1" x14ac:dyDescent="0.3">
      <c r="A3" s="203" t="s">
        <v>2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207" t="s">
        <v>46</v>
      </c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E3" s="208"/>
      <c r="DF3" s="208"/>
      <c r="DG3" s="209"/>
    </row>
    <row r="4" spans="1:111" s="15" customFormat="1" ht="14.4" customHeight="1" x14ac:dyDescent="0.3">
      <c r="A4" s="204"/>
      <c r="B4" s="12" t="s">
        <v>3</v>
      </c>
      <c r="C4" s="13">
        <v>42795</v>
      </c>
      <c r="D4" s="12">
        <v>42826</v>
      </c>
      <c r="E4" s="12">
        <v>42856</v>
      </c>
      <c r="F4" s="12">
        <v>42887</v>
      </c>
      <c r="G4" s="12">
        <v>42917</v>
      </c>
      <c r="H4" s="12">
        <v>42948</v>
      </c>
      <c r="I4" s="12">
        <v>42979</v>
      </c>
      <c r="J4" s="12">
        <v>43009</v>
      </c>
      <c r="K4" s="12">
        <v>43040</v>
      </c>
      <c r="L4" s="12">
        <v>43070</v>
      </c>
      <c r="M4" s="12">
        <v>43101</v>
      </c>
      <c r="N4" s="12">
        <v>43132</v>
      </c>
      <c r="O4" s="12">
        <v>43160</v>
      </c>
      <c r="P4" s="12">
        <v>43191</v>
      </c>
      <c r="Q4" s="12">
        <v>43221</v>
      </c>
      <c r="R4" s="12">
        <v>43252</v>
      </c>
      <c r="S4" s="12">
        <v>43282</v>
      </c>
      <c r="T4" s="12">
        <v>43313</v>
      </c>
      <c r="U4" s="12">
        <v>43344</v>
      </c>
      <c r="V4" s="12">
        <v>43374</v>
      </c>
      <c r="W4" s="12">
        <v>43405</v>
      </c>
      <c r="X4" s="12">
        <v>43435</v>
      </c>
      <c r="Y4" s="12">
        <v>43466</v>
      </c>
      <c r="Z4" s="12">
        <v>43497</v>
      </c>
      <c r="AA4" s="12">
        <v>43525</v>
      </c>
      <c r="AB4" s="12">
        <v>43556</v>
      </c>
      <c r="AC4" s="12">
        <v>43586</v>
      </c>
      <c r="AD4" s="12">
        <v>43617</v>
      </c>
      <c r="AE4" s="12">
        <v>43647</v>
      </c>
      <c r="AF4" s="12">
        <v>43678</v>
      </c>
      <c r="AG4" s="12">
        <v>43709</v>
      </c>
      <c r="AH4" s="12">
        <v>43739</v>
      </c>
      <c r="AI4" s="12">
        <v>43770</v>
      </c>
      <c r="AJ4" s="12">
        <v>43800</v>
      </c>
      <c r="AK4" s="12">
        <v>43831</v>
      </c>
      <c r="AL4" s="12">
        <v>43862</v>
      </c>
      <c r="AM4" s="12">
        <v>43891</v>
      </c>
      <c r="AN4" s="12">
        <v>43922</v>
      </c>
      <c r="AO4" s="12">
        <v>43952</v>
      </c>
      <c r="AP4" s="12">
        <v>43983</v>
      </c>
      <c r="AQ4" s="12">
        <v>44013</v>
      </c>
      <c r="AR4" s="12">
        <v>44044</v>
      </c>
      <c r="AS4" s="12">
        <v>44075</v>
      </c>
      <c r="AT4" s="12">
        <v>44105</v>
      </c>
      <c r="AU4" s="12">
        <v>44136</v>
      </c>
      <c r="AV4" s="12">
        <v>44166</v>
      </c>
      <c r="AW4" s="12">
        <v>44197</v>
      </c>
      <c r="AX4" s="12">
        <v>44228</v>
      </c>
      <c r="AY4" s="12">
        <v>44256</v>
      </c>
      <c r="AZ4" s="12">
        <v>44287</v>
      </c>
      <c r="BA4" s="12">
        <v>44317</v>
      </c>
      <c r="BB4" s="12">
        <v>44348</v>
      </c>
      <c r="BC4" s="12">
        <v>44378</v>
      </c>
      <c r="BD4" s="12">
        <v>44409</v>
      </c>
      <c r="BE4" s="12">
        <v>44440</v>
      </c>
      <c r="BF4" s="12">
        <v>44470</v>
      </c>
      <c r="BG4" s="12">
        <v>44501</v>
      </c>
      <c r="BH4" s="12">
        <v>44531</v>
      </c>
      <c r="BI4" s="12">
        <v>44562</v>
      </c>
      <c r="BJ4" s="12">
        <v>44593</v>
      </c>
      <c r="BK4" s="12">
        <v>44621</v>
      </c>
      <c r="BL4" s="12">
        <v>44652</v>
      </c>
      <c r="BM4" s="12">
        <v>44682</v>
      </c>
      <c r="BN4" s="12">
        <v>44713</v>
      </c>
      <c r="BO4" s="12">
        <v>44743</v>
      </c>
      <c r="BP4" s="12">
        <v>44774</v>
      </c>
      <c r="BQ4" s="12">
        <v>44805</v>
      </c>
      <c r="BR4" s="12">
        <v>44835</v>
      </c>
      <c r="BS4" s="12">
        <v>44866</v>
      </c>
      <c r="BT4" s="12">
        <v>44896</v>
      </c>
      <c r="BU4" s="12">
        <v>44927</v>
      </c>
      <c r="BV4" s="12">
        <v>44958</v>
      </c>
      <c r="BW4" s="12">
        <v>44986</v>
      </c>
      <c r="BX4" s="12">
        <v>45017</v>
      </c>
      <c r="BY4" s="12">
        <v>45047</v>
      </c>
      <c r="BZ4" s="12">
        <v>45078</v>
      </c>
      <c r="CA4" s="12">
        <v>45108</v>
      </c>
      <c r="CB4" s="12">
        <v>45139</v>
      </c>
      <c r="CC4" s="12">
        <v>45170</v>
      </c>
      <c r="CD4" s="12">
        <v>45200</v>
      </c>
      <c r="CE4" s="12">
        <v>45231</v>
      </c>
      <c r="CF4" s="12">
        <v>45261</v>
      </c>
      <c r="CG4" s="12">
        <v>45292</v>
      </c>
      <c r="CH4" s="12">
        <v>45323</v>
      </c>
      <c r="CI4" s="12">
        <v>45352</v>
      </c>
      <c r="CJ4" s="12">
        <v>45383</v>
      </c>
      <c r="CK4" s="12">
        <v>45413</v>
      </c>
      <c r="CL4" s="12">
        <v>45444</v>
      </c>
      <c r="CM4" s="12">
        <v>45474</v>
      </c>
      <c r="CN4" s="12">
        <v>45505</v>
      </c>
      <c r="CO4" s="12">
        <v>45536</v>
      </c>
      <c r="CP4" s="12">
        <v>45566</v>
      </c>
      <c r="CQ4" s="12">
        <v>45597</v>
      </c>
      <c r="CR4" s="12">
        <v>45627</v>
      </c>
      <c r="CS4" s="12">
        <v>45658</v>
      </c>
      <c r="CT4" s="12">
        <v>45689</v>
      </c>
      <c r="CU4" s="12">
        <v>45717</v>
      </c>
      <c r="CV4" s="12">
        <v>45748</v>
      </c>
      <c r="CW4" s="12">
        <v>45778</v>
      </c>
      <c r="CX4" s="12">
        <v>45809</v>
      </c>
      <c r="CY4" s="12">
        <v>45839</v>
      </c>
      <c r="CZ4" s="12">
        <v>45870</v>
      </c>
      <c r="DA4" s="12">
        <v>45901</v>
      </c>
      <c r="DB4" s="12">
        <v>45931</v>
      </c>
      <c r="DC4" s="12">
        <v>45962</v>
      </c>
      <c r="DD4" s="12">
        <v>45992</v>
      </c>
      <c r="DE4" s="12">
        <v>46023</v>
      </c>
      <c r="DF4" s="12">
        <v>46054</v>
      </c>
      <c r="DG4" s="12">
        <v>46082</v>
      </c>
    </row>
    <row r="5" spans="1:111" x14ac:dyDescent="0.3">
      <c r="A5" s="16" t="s">
        <v>4</v>
      </c>
      <c r="B5" s="17"/>
      <c r="C5" s="18"/>
      <c r="D5" s="17"/>
      <c r="E5" s="19"/>
      <c r="F5" s="19"/>
      <c r="G5" s="19"/>
      <c r="H5" s="20"/>
      <c r="I5" s="21"/>
      <c r="J5" s="21"/>
      <c r="K5" s="21"/>
      <c r="L5" s="21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</row>
    <row r="6" spans="1:111" s="30" customFormat="1" x14ac:dyDescent="0.3">
      <c r="A6" s="24" t="s">
        <v>5</v>
      </c>
      <c r="B6" s="25">
        <v>354252.64758164017</v>
      </c>
      <c r="C6" s="26">
        <v>426108.59509139956</v>
      </c>
      <c r="D6" s="25">
        <v>427960.74394022056</v>
      </c>
      <c r="E6" s="25">
        <v>411476.02793034958</v>
      </c>
      <c r="F6" s="25">
        <v>426452.37869130977</v>
      </c>
      <c r="G6" s="26">
        <v>434358.43206311035</v>
      </c>
      <c r="H6" s="26">
        <v>442082.93563080922</v>
      </c>
      <c r="I6" s="26">
        <v>448030.38148119056</v>
      </c>
      <c r="J6" s="26">
        <v>453897.82569179015</v>
      </c>
      <c r="K6" s="25">
        <v>455965.60054771998</v>
      </c>
      <c r="L6" s="25">
        <v>456942.77285042999</v>
      </c>
      <c r="M6" s="27">
        <v>465842.47674389998</v>
      </c>
      <c r="N6" s="27">
        <v>469141.76447271003</v>
      </c>
      <c r="O6" s="27">
        <v>472409.33337099</v>
      </c>
      <c r="P6" s="28">
        <v>472530.83956835</v>
      </c>
      <c r="Q6" s="28">
        <v>475508.34507366002</v>
      </c>
      <c r="R6" s="28">
        <v>477870.72326742997</v>
      </c>
      <c r="S6" s="28">
        <v>475794.64495976001</v>
      </c>
      <c r="T6" s="28">
        <v>480615.43638863001</v>
      </c>
      <c r="U6" s="28">
        <v>488997.06673409999</v>
      </c>
      <c r="V6" s="28">
        <v>494894.88995962002</v>
      </c>
      <c r="W6" s="28">
        <v>493743.01679889997</v>
      </c>
      <c r="X6" s="28">
        <v>498409.82379937998</v>
      </c>
      <c r="Y6" s="28">
        <v>490972.6333482</v>
      </c>
      <c r="Z6" s="28">
        <v>476319.02841203002</v>
      </c>
      <c r="AA6" s="28">
        <v>477771.90763022</v>
      </c>
      <c r="AB6" s="28">
        <v>480988.06725994998</v>
      </c>
      <c r="AC6" s="28">
        <v>484144.02318436</v>
      </c>
      <c r="AD6" s="28">
        <v>465061.64365767001</v>
      </c>
      <c r="AE6" s="28">
        <v>471215.47179884999</v>
      </c>
      <c r="AF6" s="28">
        <v>472126.91081075999</v>
      </c>
      <c r="AG6" s="28">
        <v>476438.52791233</v>
      </c>
      <c r="AH6" s="28">
        <v>473642.02815869002</v>
      </c>
      <c r="AI6" s="28">
        <v>475468.70167221001</v>
      </c>
      <c r="AJ6" s="28">
        <v>475881.69715302001</v>
      </c>
      <c r="AK6" s="28">
        <v>462314.55832973</v>
      </c>
      <c r="AL6" s="28">
        <v>447952.91327250999</v>
      </c>
      <c r="AM6" s="28">
        <v>450613.43380532</v>
      </c>
      <c r="AN6" s="28">
        <v>469365.5369915</v>
      </c>
      <c r="AO6" s="28">
        <v>461488.66403843003</v>
      </c>
      <c r="AP6" s="28">
        <v>455655.67280891998</v>
      </c>
      <c r="AQ6" s="28">
        <v>455993.08249732002</v>
      </c>
      <c r="AR6" s="28">
        <v>458335.13976484002</v>
      </c>
      <c r="AS6" s="28">
        <v>456303.25844805001</v>
      </c>
      <c r="AT6" s="28">
        <v>460510.47774127999</v>
      </c>
      <c r="AU6" s="28">
        <v>458156.19887477998</v>
      </c>
      <c r="AV6" s="28">
        <v>461555.78231887001</v>
      </c>
      <c r="AW6" s="28">
        <v>454052.48626487999</v>
      </c>
      <c r="AX6" s="28">
        <v>458134.20745546999</v>
      </c>
      <c r="AY6" s="28">
        <v>460148.75728711998</v>
      </c>
      <c r="AZ6" s="28">
        <v>462814.33599903999</v>
      </c>
      <c r="BA6" s="28">
        <v>473058.91059309</v>
      </c>
      <c r="BB6" s="28">
        <v>484519.50091164</v>
      </c>
      <c r="BC6" s="28">
        <v>499959.88118219998</v>
      </c>
      <c r="BD6" s="28">
        <v>505552.28502618999</v>
      </c>
      <c r="BE6" s="28">
        <v>521856.68073645001</v>
      </c>
      <c r="BF6" s="28">
        <v>531997.03061964002</v>
      </c>
      <c r="BG6" s="28">
        <v>537214.01349644002</v>
      </c>
      <c r="BH6" s="28">
        <v>546446.41701016005</v>
      </c>
      <c r="BI6" s="28">
        <v>535741.58292812004</v>
      </c>
      <c r="BJ6" s="28">
        <v>538610.98677707999</v>
      </c>
      <c r="BK6" s="28">
        <v>548845.10580895038</v>
      </c>
      <c r="BL6" s="28">
        <v>552079.96254541003</v>
      </c>
      <c r="BM6" s="28">
        <v>563805.47948208998</v>
      </c>
      <c r="BN6" s="28">
        <v>582008.99553060997</v>
      </c>
      <c r="BO6" s="28">
        <v>581683.50154023001</v>
      </c>
      <c r="BP6" s="28">
        <v>579562.33865526004</v>
      </c>
      <c r="BQ6" s="28">
        <v>578754.78911471996</v>
      </c>
      <c r="BR6" s="28">
        <v>574378.86412218004</v>
      </c>
      <c r="BS6" s="28">
        <v>569626.73629943002</v>
      </c>
      <c r="BT6" s="28">
        <v>564553.01520766004</v>
      </c>
      <c r="BU6" s="28">
        <v>553775.83235817996</v>
      </c>
      <c r="BV6" s="28">
        <v>548274.88725069002</v>
      </c>
      <c r="BW6" s="28">
        <v>546829.69699058996</v>
      </c>
      <c r="BX6" s="28">
        <v>538375.19745672005</v>
      </c>
      <c r="BY6" s="28">
        <v>531066.21482371003</v>
      </c>
      <c r="BZ6" s="28">
        <v>527147.93303288997</v>
      </c>
      <c r="CA6" s="28">
        <v>528692.33031989995</v>
      </c>
      <c r="CB6" s="28">
        <v>529376.93871495</v>
      </c>
      <c r="CC6" s="28">
        <v>532290.16645867995</v>
      </c>
      <c r="CD6" s="28">
        <v>540887.20326611004</v>
      </c>
      <c r="CE6" s="28">
        <v>540226.22659102001</v>
      </c>
      <c r="CF6" s="28">
        <v>547238.84534041001</v>
      </c>
      <c r="CG6" s="28">
        <v>547412.71245652996</v>
      </c>
      <c r="CH6" s="28">
        <v>543889.19751827</v>
      </c>
      <c r="CI6" s="28">
        <v>545529.06936408998</v>
      </c>
      <c r="CJ6" s="28">
        <v>554244.63933005999</v>
      </c>
      <c r="CK6" s="28">
        <v>559102.02705127001</v>
      </c>
      <c r="CL6" s="28">
        <v>565807.17070840998</v>
      </c>
      <c r="CM6" s="28">
        <v>581040.83584177995</v>
      </c>
      <c r="CN6" s="28">
        <v>586927.71907041001</v>
      </c>
      <c r="CO6" s="28">
        <v>593564.18560186995</v>
      </c>
      <c r="CP6" s="28">
        <v>604689.60960289999</v>
      </c>
      <c r="CQ6" s="28">
        <v>601377.39577795996</v>
      </c>
      <c r="CR6" s="28">
        <v>609005.27513622004</v>
      </c>
      <c r="CS6" s="28">
        <v>592958.36887285998</v>
      </c>
      <c r="CT6" s="28">
        <v>596403.14524983999</v>
      </c>
      <c r="CU6" s="28">
        <v>610830.69504143996</v>
      </c>
      <c r="CV6" s="28">
        <v>624822.29297942005</v>
      </c>
      <c r="CW6" s="28">
        <v>632607.46884938003</v>
      </c>
      <c r="CX6" s="28">
        <v>648908.72730609996</v>
      </c>
      <c r="CY6" s="28">
        <v>662270.49137824995</v>
      </c>
      <c r="CZ6" s="28">
        <v>672431.75211052003</v>
      </c>
      <c r="DA6" s="28">
        <v>689070.84771233995</v>
      </c>
      <c r="DB6" s="28">
        <v>692324.59222461004</v>
      </c>
      <c r="DC6" s="28">
        <v>703097.85306869005</v>
      </c>
      <c r="DD6" s="28">
        <v>719487.11936427001</v>
      </c>
      <c r="DE6" s="28">
        <v>558799.56893027003</v>
      </c>
      <c r="DF6" s="28">
        <v>563777.19530359004</v>
      </c>
      <c r="DG6" s="28">
        <v>575493.95754342002</v>
      </c>
    </row>
    <row r="7" spans="1:111" s="30" customFormat="1" x14ac:dyDescent="0.3">
      <c r="A7" s="31" t="s">
        <v>6</v>
      </c>
      <c r="B7" s="32">
        <v>183040.94657212996</v>
      </c>
      <c r="C7" s="25">
        <v>219369.18892496996</v>
      </c>
      <c r="D7" s="32">
        <v>219321.90229453993</v>
      </c>
      <c r="E7" s="32">
        <v>223689.02952421005</v>
      </c>
      <c r="F7" s="32">
        <v>230367.92430936993</v>
      </c>
      <c r="G7" s="25">
        <v>248186.30024477997</v>
      </c>
      <c r="H7" s="25">
        <v>252763.12705007987</v>
      </c>
      <c r="I7" s="25">
        <v>253009.6812406299</v>
      </c>
      <c r="J7" s="26">
        <v>254791.46705028991</v>
      </c>
      <c r="K7" s="32">
        <v>255360.6115686</v>
      </c>
      <c r="L7" s="32">
        <v>254085.96451898001</v>
      </c>
      <c r="M7" s="29">
        <v>265284.29162482999</v>
      </c>
      <c r="N7" s="29">
        <v>272434.61989726999</v>
      </c>
      <c r="O7" s="29">
        <v>274183.60761026997</v>
      </c>
      <c r="P7" s="27">
        <v>273484.52057788998</v>
      </c>
      <c r="Q7" s="27">
        <v>274972.38116230001</v>
      </c>
      <c r="R7" s="27">
        <v>275363.31231419998</v>
      </c>
      <c r="S7" s="27">
        <v>274449.66334720002</v>
      </c>
      <c r="T7" s="27">
        <v>271483.41556577</v>
      </c>
      <c r="U7" s="27">
        <v>272569.00610696001</v>
      </c>
      <c r="V7" s="27">
        <v>272828.63156890002</v>
      </c>
      <c r="W7" s="27">
        <v>280692.28312614001</v>
      </c>
      <c r="X7" s="27">
        <v>272050.60313488002</v>
      </c>
      <c r="Y7" s="27">
        <v>268856.42339353001</v>
      </c>
      <c r="Z7" s="27">
        <v>264487.91720208002</v>
      </c>
      <c r="AA7" s="27">
        <v>261458.67264842999</v>
      </c>
      <c r="AB7" s="27">
        <v>261394.32167367</v>
      </c>
      <c r="AC7" s="27">
        <v>261323.70544704999</v>
      </c>
      <c r="AD7" s="27">
        <v>252725.17249565001</v>
      </c>
      <c r="AE7" s="27">
        <v>254337.12777389999</v>
      </c>
      <c r="AF7" s="27">
        <v>254921.10957618</v>
      </c>
      <c r="AG7" s="27">
        <v>248983.66622047999</v>
      </c>
      <c r="AH7" s="27">
        <v>248935.28815720999</v>
      </c>
      <c r="AI7" s="27">
        <v>250888.10315410999</v>
      </c>
      <c r="AJ7" s="27">
        <v>251042.08131544001</v>
      </c>
      <c r="AK7" s="27">
        <v>247359.67959355999</v>
      </c>
      <c r="AL7" s="27">
        <v>247165.12220948</v>
      </c>
      <c r="AM7" s="27">
        <v>247111.06130023999</v>
      </c>
      <c r="AN7" s="27">
        <v>246276.76775407</v>
      </c>
      <c r="AO7" s="27">
        <v>245214.20956049001</v>
      </c>
      <c r="AP7" s="27">
        <v>242660.26891067001</v>
      </c>
      <c r="AQ7" s="27">
        <v>241989.03395533</v>
      </c>
      <c r="AR7" s="27">
        <v>242856.70173979001</v>
      </c>
      <c r="AS7" s="27">
        <v>243162.85315327</v>
      </c>
      <c r="AT7" s="27">
        <v>240538.77928603999</v>
      </c>
      <c r="AU7" s="27">
        <v>231336.89474624</v>
      </c>
      <c r="AV7" s="27">
        <v>233039.27408082</v>
      </c>
      <c r="AW7" s="27">
        <v>225035.46113744</v>
      </c>
      <c r="AX7" s="27">
        <v>225808.83765972999</v>
      </c>
      <c r="AY7" s="27">
        <v>225362.07533343</v>
      </c>
      <c r="AZ7" s="27">
        <v>223048.95497865</v>
      </c>
      <c r="BA7" s="27">
        <v>222798.86298974001</v>
      </c>
      <c r="BB7" s="27">
        <v>220835.46394885</v>
      </c>
      <c r="BC7" s="27">
        <v>225478.70715248</v>
      </c>
      <c r="BD7" s="27">
        <v>224689.89469548</v>
      </c>
      <c r="BE7" s="27">
        <v>224471.99550243001</v>
      </c>
      <c r="BF7" s="27">
        <v>222577.6474168</v>
      </c>
      <c r="BG7" s="27">
        <v>222857.68178694</v>
      </c>
      <c r="BH7" s="27">
        <v>222085.56039564</v>
      </c>
      <c r="BI7" s="27">
        <v>215033.52418159999</v>
      </c>
      <c r="BJ7" s="27">
        <v>215488.68356532001</v>
      </c>
      <c r="BK7" s="27">
        <v>210778.73548171006</v>
      </c>
      <c r="BL7" s="27">
        <v>212638.00618552999</v>
      </c>
      <c r="BM7" s="27">
        <v>213627.0269194</v>
      </c>
      <c r="BN7" s="27">
        <v>218376.68294609999</v>
      </c>
      <c r="BO7" s="27">
        <v>236837.19637498001</v>
      </c>
      <c r="BP7" s="27">
        <v>239673.07815508</v>
      </c>
      <c r="BQ7" s="27">
        <v>240687.13934015</v>
      </c>
      <c r="BR7" s="27">
        <v>244826.26477834</v>
      </c>
      <c r="BS7" s="27">
        <v>246483.80541654999</v>
      </c>
      <c r="BT7" s="27">
        <v>250463.23728144</v>
      </c>
      <c r="BU7" s="27">
        <v>254943.64860193001</v>
      </c>
      <c r="BV7" s="27">
        <v>255648.12974522999</v>
      </c>
      <c r="BW7" s="27">
        <v>255441.45113261</v>
      </c>
      <c r="BX7" s="27">
        <v>253500.49770127001</v>
      </c>
      <c r="BY7" s="27">
        <v>253301.20510443</v>
      </c>
      <c r="BZ7" s="27">
        <v>251617.42881864001</v>
      </c>
      <c r="CA7" s="27">
        <v>251296.42775596</v>
      </c>
      <c r="CB7" s="27">
        <v>255311.26796572001</v>
      </c>
      <c r="CC7" s="27">
        <v>250185.77595536999</v>
      </c>
      <c r="CD7" s="27">
        <v>249673.01226808</v>
      </c>
      <c r="CE7" s="27">
        <v>252646.52680229</v>
      </c>
      <c r="CF7" s="27">
        <v>253546.91016607001</v>
      </c>
      <c r="CG7" s="27">
        <v>251623.88245683</v>
      </c>
      <c r="CH7" s="27">
        <v>251502.86443591001</v>
      </c>
      <c r="CI7" s="27">
        <v>250799.65770847999</v>
      </c>
      <c r="CJ7" s="27">
        <v>250193.31853841999</v>
      </c>
      <c r="CK7" s="27">
        <v>250629.14096893999</v>
      </c>
      <c r="CL7" s="27">
        <v>249233.55679281001</v>
      </c>
      <c r="CM7" s="27">
        <v>248490.64799329001</v>
      </c>
      <c r="CN7" s="27">
        <v>248112.45957561</v>
      </c>
      <c r="CO7" s="27">
        <v>248238.22542482999</v>
      </c>
      <c r="CP7" s="27">
        <v>247071.78600620001</v>
      </c>
      <c r="CQ7" s="27">
        <v>246777.12714284999</v>
      </c>
      <c r="CR7" s="27">
        <v>245836.37981508</v>
      </c>
      <c r="CS7" s="27">
        <v>232702.60686038999</v>
      </c>
      <c r="CT7" s="27">
        <v>235964.45484609</v>
      </c>
      <c r="CU7" s="27">
        <v>234674.77189474</v>
      </c>
      <c r="CV7" s="27">
        <v>230091.28737164001</v>
      </c>
      <c r="CW7" s="27">
        <v>230231.08852250001</v>
      </c>
      <c r="CX7" s="27">
        <v>229496.85865273001</v>
      </c>
      <c r="CY7" s="27">
        <v>229947.20964528999</v>
      </c>
      <c r="CZ7" s="27">
        <v>222730.61654305999</v>
      </c>
      <c r="DA7" s="27">
        <v>222139.3244169</v>
      </c>
      <c r="DB7" s="27">
        <v>220798.67835907999</v>
      </c>
      <c r="DC7" s="27">
        <v>219132.67975720999</v>
      </c>
      <c r="DD7" s="27">
        <v>219361.10234144001</v>
      </c>
      <c r="DE7" s="27">
        <v>65542.092118319997</v>
      </c>
      <c r="DF7" s="27">
        <v>65302.647273679999</v>
      </c>
      <c r="DG7" s="27">
        <v>64475.201704239997</v>
      </c>
    </row>
    <row r="8" spans="1:111" s="113" customFormat="1" x14ac:dyDescent="0.3">
      <c r="A8" s="107" t="s">
        <v>7</v>
      </c>
      <c r="B8" s="108">
        <f t="shared" ref="B8:I8" si="0">IFERROR(100*(B7/B6),0)</f>
        <v>51.66960580864729</v>
      </c>
      <c r="C8" s="157">
        <f t="shared" si="0"/>
        <v>51.481991082089216</v>
      </c>
      <c r="D8" s="108">
        <f t="shared" si="0"/>
        <v>51.248135582542076</v>
      </c>
      <c r="E8" s="108">
        <f t="shared" si="0"/>
        <v>54.362590853548788</v>
      </c>
      <c r="F8" s="108">
        <f t="shared" si="0"/>
        <v>54.019612932238601</v>
      </c>
      <c r="G8" s="108">
        <f t="shared" si="0"/>
        <v>57.138593825828984</v>
      </c>
      <c r="H8" s="158">
        <f t="shared" si="0"/>
        <v>57.175499590232214</v>
      </c>
      <c r="I8" s="108">
        <f t="shared" si="0"/>
        <v>56.471545613531539</v>
      </c>
      <c r="J8" s="121">
        <v>56.134101691709958</v>
      </c>
      <c r="K8" s="121">
        <v>56.004358938887698</v>
      </c>
      <c r="L8" s="121">
        <v>55.605642460210099</v>
      </c>
      <c r="M8" s="108">
        <v>56.947209597348902</v>
      </c>
      <c r="N8" s="108">
        <v>58.070852038396502</v>
      </c>
      <c r="O8" s="108">
        <v>58.039413754543602</v>
      </c>
      <c r="P8" s="108">
        <v>57.876544275441198</v>
      </c>
      <c r="Q8" s="108">
        <v>57.827035847226703</v>
      </c>
      <c r="R8" s="108">
        <v>57.622971842972497</v>
      </c>
      <c r="S8" s="108">
        <v>57.682377524533003</v>
      </c>
      <c r="T8" s="108">
        <v>56.486620073152601</v>
      </c>
      <c r="U8" s="108">
        <v>55.740417407283502</v>
      </c>
      <c r="V8" s="108">
        <v>55.128601467507799</v>
      </c>
      <c r="W8" s="108">
        <v>56.849874038920298</v>
      </c>
      <c r="X8" s="108">
        <v>54.583716079478002</v>
      </c>
      <c r="Y8" s="108">
        <v>54.759961173407397</v>
      </c>
      <c r="Z8" s="108">
        <v>55.527472434565503</v>
      </c>
      <c r="AA8" s="108">
        <v>54.724580594384904</v>
      </c>
      <c r="AB8" s="108">
        <v>54.345282028046498</v>
      </c>
      <c r="AC8" s="108">
        <v>53.976439433920099</v>
      </c>
      <c r="AD8" s="108">
        <v>54.342295466034997</v>
      </c>
      <c r="AE8" s="108">
        <v>53.974697987520699</v>
      </c>
      <c r="AF8" s="108">
        <v>53.994191760519797</v>
      </c>
      <c r="AG8" s="108">
        <v>52.259347561894899</v>
      </c>
      <c r="AH8" s="108">
        <v>52.557685627046197</v>
      </c>
      <c r="AI8" s="108">
        <v>52.766481215639097</v>
      </c>
      <c r="AJ8" s="108">
        <v>52.753044047986798</v>
      </c>
      <c r="AK8" s="108">
        <v>53.504626911865302</v>
      </c>
      <c r="AL8" s="108">
        <v>55.176585504003199</v>
      </c>
      <c r="AM8" s="108">
        <v>54.838813661955797</v>
      </c>
      <c r="AN8" s="108">
        <v>52.470142851269898</v>
      </c>
      <c r="AO8" s="108">
        <v>53.135478435082398</v>
      </c>
      <c r="AP8" s="108">
        <v>53.25518442792</v>
      </c>
      <c r="AQ8" s="108">
        <v>53.068575652516003</v>
      </c>
      <c r="AR8" s="108">
        <v>52.986707906444501</v>
      </c>
      <c r="AS8" s="108">
        <v>53.289747257186001</v>
      </c>
      <c r="AT8" s="108">
        <v>52.233074145422002</v>
      </c>
      <c r="AU8" s="108">
        <v>50.493018606841403</v>
      </c>
      <c r="AV8" s="108">
        <v>50.489947912692998</v>
      </c>
      <c r="AW8" s="108">
        <v>49.561552451484999</v>
      </c>
      <c r="AX8" s="108">
        <v>49.288796598249697</v>
      </c>
      <c r="AY8" s="108">
        <v>48.9759174102931</v>
      </c>
      <c r="AZ8" s="108">
        <v>48.194046214487301</v>
      </c>
      <c r="BA8" s="108">
        <v>47.097487860530798</v>
      </c>
      <c r="BB8" s="108">
        <v>45.578240614328301</v>
      </c>
      <c r="BC8" s="108">
        <v>45.099360096517202</v>
      </c>
      <c r="BD8" s="108">
        <v>44.444442513762901</v>
      </c>
      <c r="BE8" s="108">
        <v>43.0141078553699</v>
      </c>
      <c r="BF8" s="108">
        <v>41.838137171095497</v>
      </c>
      <c r="BG8" s="108">
        <v>41.483966573484899</v>
      </c>
      <c r="BH8" s="108">
        <v>40.641781789102801</v>
      </c>
      <c r="BI8" s="108">
        <v>40.1375459799713</v>
      </c>
      <c r="BJ8" s="108">
        <v>40.008222790766503</v>
      </c>
      <c r="BK8" s="108">
        <v>38.40404756293497</v>
      </c>
      <c r="BL8" s="108">
        <v>38.515798545765897</v>
      </c>
      <c r="BM8" s="108">
        <v>37.890200555630798</v>
      </c>
      <c r="BN8" s="108">
        <v>37.521186892826101</v>
      </c>
      <c r="BO8" s="108">
        <v>40.715818094868197</v>
      </c>
      <c r="BP8" s="108">
        <v>41.354149876471602</v>
      </c>
      <c r="BQ8" s="108">
        <v>41.587066555131599</v>
      </c>
      <c r="BR8" s="108">
        <v>42.624525391007701</v>
      </c>
      <c r="BS8" s="108">
        <v>43.271108905074897</v>
      </c>
      <c r="BT8" s="108">
        <v>44.36487460603</v>
      </c>
      <c r="BU8" s="108">
        <v>46.037337439643501</v>
      </c>
      <c r="BV8" s="108">
        <v>46.627729208458</v>
      </c>
      <c r="BW8" s="108">
        <v>46.713163629993097</v>
      </c>
      <c r="BX8" s="108">
        <v>47.086214019294403</v>
      </c>
      <c r="BY8" s="108">
        <v>47.696727457707802</v>
      </c>
      <c r="BZ8" s="108">
        <v>47.731843957157501</v>
      </c>
      <c r="CA8" s="108">
        <v>47.531695344229</v>
      </c>
      <c r="CB8" s="108">
        <v>48.228634323490198</v>
      </c>
      <c r="CC8" s="108">
        <v>47.001765525719399</v>
      </c>
      <c r="CD8" s="108">
        <v>46.159903721228197</v>
      </c>
      <c r="CE8" s="108">
        <v>46.7668014558569</v>
      </c>
      <c r="CF8" s="108">
        <v>46.3320380716671</v>
      </c>
      <c r="CG8" s="108">
        <v>45.966028323978897</v>
      </c>
      <c r="CH8" s="108">
        <v>46.241562727022497</v>
      </c>
      <c r="CI8" s="108">
        <v>45.973655996156403</v>
      </c>
      <c r="CJ8" s="108">
        <v>45.141315005020097</v>
      </c>
      <c r="CK8" s="108">
        <v>44.827085011794701</v>
      </c>
      <c r="CL8" s="108">
        <v>44.049204339485698</v>
      </c>
      <c r="CM8" s="108">
        <v>42.7664688374769</v>
      </c>
      <c r="CN8" s="110">
        <v>42.273086023024497</v>
      </c>
      <c r="CO8" s="110">
        <v>41.821631332611197</v>
      </c>
      <c r="CP8" s="110">
        <v>40.859274259475399</v>
      </c>
      <c r="CQ8" s="110">
        <v>41.0353180673862</v>
      </c>
      <c r="CR8" s="110">
        <v>40.366871988110802</v>
      </c>
      <c r="CS8" s="110">
        <v>39.244341437111103</v>
      </c>
      <c r="CT8" s="110">
        <v>39.564589275806398</v>
      </c>
      <c r="CU8" s="110">
        <v>38.418955334066702</v>
      </c>
      <c r="CV8" s="110">
        <v>36.825076498865997</v>
      </c>
      <c r="CW8" s="110">
        <v>36.3939883513005</v>
      </c>
      <c r="CX8" s="110">
        <v>35.366585314004098</v>
      </c>
      <c r="CY8" s="110">
        <v>34.721041121241399</v>
      </c>
      <c r="CZ8" s="110">
        <v>33.123155746882702</v>
      </c>
      <c r="DA8" s="110">
        <v>32.237515946928298</v>
      </c>
      <c r="DB8" s="110">
        <v>31.892363905433299</v>
      </c>
      <c r="DC8" s="110">
        <v>31.166739992278401</v>
      </c>
      <c r="DD8" s="110">
        <v>30.488537798322898</v>
      </c>
      <c r="DE8" s="110">
        <v>11.7290878093893</v>
      </c>
      <c r="DF8" s="110">
        <v>11.583059374814701</v>
      </c>
      <c r="DG8" s="110">
        <v>11.2034541560544</v>
      </c>
    </row>
    <row r="9" spans="1:111" s="30" customFormat="1" ht="28.8" x14ac:dyDescent="0.3">
      <c r="A9" s="24" t="s">
        <v>8</v>
      </c>
      <c r="B9" s="25">
        <v>72457.860981240039</v>
      </c>
      <c r="C9" s="41">
        <v>77978.742785729992</v>
      </c>
      <c r="D9" s="25">
        <v>80002.72295140005</v>
      </c>
      <c r="E9" s="25">
        <v>80637.144677850054</v>
      </c>
      <c r="F9" s="25">
        <v>81660.861247279929</v>
      </c>
      <c r="G9" s="25">
        <v>83953.5797957701</v>
      </c>
      <c r="H9" s="25">
        <v>86015.848916139948</v>
      </c>
      <c r="I9" s="25">
        <v>89565.891871839893</v>
      </c>
      <c r="J9" s="19">
        <v>91704.096474800011</v>
      </c>
      <c r="K9" s="19">
        <v>94422.392246510004</v>
      </c>
      <c r="L9" s="19">
        <v>97074.230067719996</v>
      </c>
      <c r="M9" s="42">
        <v>105836.20968706001</v>
      </c>
      <c r="N9" s="42">
        <v>110501.49035787</v>
      </c>
      <c r="O9" s="42">
        <v>111711.89344403001</v>
      </c>
      <c r="P9" s="42">
        <v>114605.13628443</v>
      </c>
      <c r="Q9" s="43">
        <v>116430.74498841001</v>
      </c>
      <c r="R9" s="43">
        <v>120441.93503296</v>
      </c>
      <c r="S9" s="43">
        <v>121829.61625053</v>
      </c>
      <c r="T9" s="43">
        <v>125708.01884193999</v>
      </c>
      <c r="U9" s="43">
        <v>130567.83423464</v>
      </c>
      <c r="V9" s="43">
        <v>133279.30227322</v>
      </c>
      <c r="W9" s="43">
        <v>136230.10276129001</v>
      </c>
      <c r="X9" s="43">
        <v>139233.40450882001</v>
      </c>
      <c r="Y9" s="43">
        <v>140385.49586113999</v>
      </c>
      <c r="Z9" s="43">
        <v>142320.94160178001</v>
      </c>
      <c r="AA9" s="43">
        <v>144133.80388215999</v>
      </c>
      <c r="AB9" s="43">
        <v>147634.91334905001</v>
      </c>
      <c r="AC9" s="43">
        <v>149816.66441180999</v>
      </c>
      <c r="AD9" s="43">
        <v>153644.61325338</v>
      </c>
      <c r="AE9" s="43">
        <v>155729.85584613</v>
      </c>
      <c r="AF9" s="43">
        <v>159310.65173931001</v>
      </c>
      <c r="AG9" s="43">
        <v>163480.41381560999</v>
      </c>
      <c r="AH9" s="43">
        <v>166834.99811012001</v>
      </c>
      <c r="AI9" s="43">
        <v>170292.77532436</v>
      </c>
      <c r="AJ9" s="43">
        <v>173118.97585347001</v>
      </c>
      <c r="AK9" s="43">
        <v>174656.93453093999</v>
      </c>
      <c r="AL9" s="43">
        <v>177169.90944095</v>
      </c>
      <c r="AM9" s="43">
        <v>178368.05737202</v>
      </c>
      <c r="AN9" s="43">
        <v>179722.20606972001</v>
      </c>
      <c r="AO9" s="43">
        <v>173967.73772169001</v>
      </c>
      <c r="AP9" s="43">
        <v>173875.16505725001</v>
      </c>
      <c r="AQ9" s="43">
        <v>175709.71880075001</v>
      </c>
      <c r="AR9" s="43">
        <v>177654.91484298999</v>
      </c>
      <c r="AS9" s="43">
        <v>180810.18197002</v>
      </c>
      <c r="AT9" s="43">
        <v>178956.3574103</v>
      </c>
      <c r="AU9" s="43">
        <v>171393.46143388</v>
      </c>
      <c r="AV9" s="43">
        <v>174060.54814027</v>
      </c>
      <c r="AW9" s="43">
        <v>173978.11037653001</v>
      </c>
      <c r="AX9" s="43">
        <v>175415.61458900999</v>
      </c>
      <c r="AY9" s="43">
        <v>178281.99340708001</v>
      </c>
      <c r="AZ9" s="43">
        <v>183539.24627584001</v>
      </c>
      <c r="BA9" s="43">
        <v>187048.29665415001</v>
      </c>
      <c r="BB9" s="43">
        <v>193608.12055046999</v>
      </c>
      <c r="BC9" s="43">
        <v>199324.84281994999</v>
      </c>
      <c r="BD9" s="43">
        <v>204306.89994562001</v>
      </c>
      <c r="BE9" s="43">
        <v>212014.79838801001</v>
      </c>
      <c r="BF9" s="43">
        <v>216596.77059120999</v>
      </c>
      <c r="BG9" s="43">
        <v>220807.7873575</v>
      </c>
      <c r="BH9" s="43">
        <v>228718.57165483001</v>
      </c>
      <c r="BI9" s="43">
        <v>232963.53134416</v>
      </c>
      <c r="BJ9" s="43">
        <v>240148.59401540001</v>
      </c>
      <c r="BK9" s="43">
        <v>247032.85766502024</v>
      </c>
      <c r="BL9" s="43">
        <v>241407.59312409</v>
      </c>
      <c r="BM9" s="43">
        <v>238093.36401670999</v>
      </c>
      <c r="BN9" s="43">
        <v>235099.36574447999</v>
      </c>
      <c r="BO9" s="43">
        <v>228869.27649724</v>
      </c>
      <c r="BP9" s="43">
        <v>224972.53618674001</v>
      </c>
      <c r="BQ9" s="43">
        <v>222078.30487354999</v>
      </c>
      <c r="BR9" s="43">
        <v>219150.03150235</v>
      </c>
      <c r="BS9" s="43">
        <v>215282.10780994</v>
      </c>
      <c r="BT9" s="43">
        <v>214357.88586981001</v>
      </c>
      <c r="BU9" s="43">
        <v>208838.41985996001</v>
      </c>
      <c r="BV9" s="43">
        <v>209467.85856851001</v>
      </c>
      <c r="BW9" s="43">
        <v>205559.61790652</v>
      </c>
      <c r="BX9" s="43">
        <v>206085.84679124001</v>
      </c>
      <c r="BY9" s="43">
        <v>205836.84990232001</v>
      </c>
      <c r="BZ9" s="43">
        <v>208376.10208704</v>
      </c>
      <c r="CA9" s="43">
        <v>209386.10828717999</v>
      </c>
      <c r="CB9" s="43">
        <v>212121.26282382</v>
      </c>
      <c r="CC9" s="43">
        <v>218084.92330468001</v>
      </c>
      <c r="CD9" s="43">
        <v>218560.44686699999</v>
      </c>
      <c r="CE9" s="43">
        <v>223100.28708723999</v>
      </c>
      <c r="CF9" s="43">
        <v>230390.49772640999</v>
      </c>
      <c r="CG9" s="43">
        <v>227053.71665828</v>
      </c>
      <c r="CH9" s="43">
        <v>232437.98751373001</v>
      </c>
      <c r="CI9" s="43">
        <v>235580.73535865999</v>
      </c>
      <c r="CJ9" s="43">
        <v>241189.66996365</v>
      </c>
      <c r="CK9" s="43">
        <v>246689.61545338001</v>
      </c>
      <c r="CL9" s="43">
        <v>251927.57249463999</v>
      </c>
      <c r="CM9" s="43">
        <v>257035.44510325999</v>
      </c>
      <c r="CN9" s="43">
        <v>264337.62492242001</v>
      </c>
      <c r="CO9" s="43">
        <v>269847.47712380998</v>
      </c>
      <c r="CP9" s="43">
        <v>274237.74981965998</v>
      </c>
      <c r="CQ9" s="43">
        <v>279655.13690605998</v>
      </c>
      <c r="CR9" s="43">
        <v>285632.61289677001</v>
      </c>
      <c r="CS9" s="43">
        <v>282600.77185348998</v>
      </c>
      <c r="CT9" s="43">
        <v>288126.39294975001</v>
      </c>
      <c r="CU9" s="43">
        <v>291860.53469283</v>
      </c>
      <c r="CV9" s="43">
        <v>299235.97580207</v>
      </c>
      <c r="CW9" s="43">
        <v>304722.79382160999</v>
      </c>
      <c r="CX9" s="43">
        <v>313395.69753906998</v>
      </c>
      <c r="CY9" s="43">
        <v>320135.09640625998</v>
      </c>
      <c r="CZ9" s="43">
        <v>329393.79595946003</v>
      </c>
      <c r="DA9" s="43">
        <v>339208.69617241999</v>
      </c>
      <c r="DB9" s="43">
        <v>342977.21189375001</v>
      </c>
      <c r="DC9" s="43">
        <v>349073.16256531997</v>
      </c>
      <c r="DD9" s="43">
        <v>359187.66395846999</v>
      </c>
      <c r="DE9" s="43">
        <v>357111.28249705001</v>
      </c>
      <c r="DF9" s="43">
        <v>365961.72861301998</v>
      </c>
      <c r="DG9" s="43">
        <v>371462.62689036998</v>
      </c>
    </row>
    <row r="10" spans="1:111" s="30" customFormat="1" x14ac:dyDescent="0.3">
      <c r="A10" s="31" t="s">
        <v>6</v>
      </c>
      <c r="B10" s="25">
        <v>19706.075301499997</v>
      </c>
      <c r="C10" s="41">
        <v>20664.52675899</v>
      </c>
      <c r="D10" s="25">
        <v>20203.989940920004</v>
      </c>
      <c r="E10" s="25">
        <v>20194.193726580001</v>
      </c>
      <c r="F10" s="25">
        <v>20120.626739569998</v>
      </c>
      <c r="G10" s="25">
        <v>20392.586562659999</v>
      </c>
      <c r="H10" s="25">
        <v>20943.945118480016</v>
      </c>
      <c r="I10" s="25">
        <v>20996.476643509995</v>
      </c>
      <c r="J10" s="26">
        <v>21590.420062679997</v>
      </c>
      <c r="K10" s="25">
        <v>21770.97763859</v>
      </c>
      <c r="L10" s="25">
        <v>21491.616395069999</v>
      </c>
      <c r="M10" s="27">
        <v>27773.502432180001</v>
      </c>
      <c r="N10" s="27">
        <v>29498.307802309999</v>
      </c>
      <c r="O10" s="27">
        <v>29572.984746409998</v>
      </c>
      <c r="P10" s="27">
        <v>30079.959116530001</v>
      </c>
      <c r="Q10" s="29">
        <v>30714.921501289999</v>
      </c>
      <c r="R10" s="29">
        <v>31250.35277818</v>
      </c>
      <c r="S10" s="29">
        <v>31345.01763989</v>
      </c>
      <c r="T10" s="29">
        <v>31953.933510729999</v>
      </c>
      <c r="U10" s="29">
        <v>32213.691972389999</v>
      </c>
      <c r="V10" s="29">
        <v>32392.872682879999</v>
      </c>
      <c r="W10" s="29">
        <v>32643.080669849998</v>
      </c>
      <c r="X10" s="29">
        <v>33181.716193350003</v>
      </c>
      <c r="Y10" s="29">
        <v>33459.891374780003</v>
      </c>
      <c r="Z10" s="29">
        <v>33367.685724789997</v>
      </c>
      <c r="AA10" s="29">
        <v>33323.665498939998</v>
      </c>
      <c r="AB10" s="29">
        <v>33810.517421800003</v>
      </c>
      <c r="AC10" s="29">
        <v>33936.281968249998</v>
      </c>
      <c r="AD10" s="29">
        <v>34129.876475819998</v>
      </c>
      <c r="AE10" s="29">
        <v>34534.759750739999</v>
      </c>
      <c r="AF10" s="29">
        <v>35056.579811809999</v>
      </c>
      <c r="AG10" s="29">
        <v>35751.917290570003</v>
      </c>
      <c r="AH10" s="29">
        <v>36524.420293579999</v>
      </c>
      <c r="AI10" s="29">
        <v>36543.212380110002</v>
      </c>
      <c r="AJ10" s="29">
        <v>37484.64079782</v>
      </c>
      <c r="AK10" s="29">
        <v>34837.524419920002</v>
      </c>
      <c r="AL10" s="29">
        <v>35483.430621289997</v>
      </c>
      <c r="AM10" s="29">
        <v>34803.427431709999</v>
      </c>
      <c r="AN10" s="29">
        <v>34914.304525150001</v>
      </c>
      <c r="AO10" s="29">
        <v>35170.250553530001</v>
      </c>
      <c r="AP10" s="29">
        <v>36159.914131110003</v>
      </c>
      <c r="AQ10" s="29">
        <v>37219.760193249997</v>
      </c>
      <c r="AR10" s="29">
        <v>37522.724131529998</v>
      </c>
      <c r="AS10" s="29">
        <v>37892.989366399997</v>
      </c>
      <c r="AT10" s="29">
        <v>34758.850442880001</v>
      </c>
      <c r="AU10" s="29">
        <v>26184.91992611</v>
      </c>
      <c r="AV10" s="29">
        <v>26158.266122379999</v>
      </c>
      <c r="AW10" s="29">
        <v>25035.6271394</v>
      </c>
      <c r="AX10" s="29">
        <v>25406.562819769999</v>
      </c>
      <c r="AY10" s="29">
        <v>24831.435031659999</v>
      </c>
      <c r="AZ10" s="29">
        <v>24369.319765529999</v>
      </c>
      <c r="BA10" s="29">
        <v>24811.153144290001</v>
      </c>
      <c r="BB10" s="29">
        <v>22807.201067059999</v>
      </c>
      <c r="BC10" s="29">
        <v>22633.59065075</v>
      </c>
      <c r="BD10" s="29">
        <v>21991.17340906</v>
      </c>
      <c r="BE10" s="29">
        <v>22346.72836374</v>
      </c>
      <c r="BF10" s="29">
        <v>21798.488160410001</v>
      </c>
      <c r="BG10" s="29">
        <v>21403.11170121</v>
      </c>
      <c r="BH10" s="29">
        <v>21945.86668359</v>
      </c>
      <c r="BI10" s="29">
        <v>20966.997650410001</v>
      </c>
      <c r="BJ10" s="29">
        <v>21402.281212270002</v>
      </c>
      <c r="BK10" s="29">
        <v>21431.956485330011</v>
      </c>
      <c r="BL10" s="29">
        <v>21199.448838299999</v>
      </c>
      <c r="BM10" s="29">
        <v>21125.304996700001</v>
      </c>
      <c r="BN10" s="29">
        <v>21330.528502469999</v>
      </c>
      <c r="BO10" s="29">
        <v>19847.441751539998</v>
      </c>
      <c r="BP10" s="29">
        <v>20978.396989000001</v>
      </c>
      <c r="BQ10" s="29">
        <v>23047.285986589999</v>
      </c>
      <c r="BR10" s="29">
        <v>43036.566957169998</v>
      </c>
      <c r="BS10" s="29">
        <v>48507.243602260001</v>
      </c>
      <c r="BT10" s="29">
        <v>52451.92172626</v>
      </c>
      <c r="BU10" s="29">
        <v>53606.96999628</v>
      </c>
      <c r="BV10" s="29">
        <v>58118.965310630003</v>
      </c>
      <c r="BW10" s="29">
        <v>56946.95571486</v>
      </c>
      <c r="BX10" s="29">
        <v>56326.493289029997</v>
      </c>
      <c r="BY10" s="29">
        <v>55354.111521769999</v>
      </c>
      <c r="BZ10" s="29">
        <v>55266.386192359998</v>
      </c>
      <c r="CA10" s="29">
        <v>53031.098064550002</v>
      </c>
      <c r="CB10" s="29">
        <v>51416.14218237</v>
      </c>
      <c r="CC10" s="29">
        <v>51048.833494990002</v>
      </c>
      <c r="CD10" s="29">
        <v>48211.631226390004</v>
      </c>
      <c r="CE10" s="29">
        <v>47724.26563763</v>
      </c>
      <c r="CF10" s="29">
        <v>46915.274436649997</v>
      </c>
      <c r="CG10" s="29">
        <v>43533.516081779999</v>
      </c>
      <c r="CH10" s="29">
        <v>43158.050641620001</v>
      </c>
      <c r="CI10" s="29">
        <v>42676.064297669996</v>
      </c>
      <c r="CJ10" s="29">
        <v>41351.919633630001</v>
      </c>
      <c r="CK10" s="29">
        <v>40409.80525261</v>
      </c>
      <c r="CL10" s="29">
        <v>40627.939025369997</v>
      </c>
      <c r="CM10" s="29">
        <v>39567.740959659997</v>
      </c>
      <c r="CN10" s="29">
        <v>38639.335037240002</v>
      </c>
      <c r="CO10" s="29">
        <v>36671.001472609998</v>
      </c>
      <c r="CP10" s="29">
        <v>37066.878669630001</v>
      </c>
      <c r="CQ10" s="29">
        <v>37195.562033970004</v>
      </c>
      <c r="CR10" s="29">
        <v>37260.602222540001</v>
      </c>
      <c r="CS10" s="29">
        <v>33389.690806810002</v>
      </c>
      <c r="CT10" s="29">
        <v>34675.671509059997</v>
      </c>
      <c r="CU10" s="29">
        <v>34424.162566899999</v>
      </c>
      <c r="CV10" s="29">
        <v>33384.500774829998</v>
      </c>
      <c r="CW10" s="29">
        <v>33616.490316360003</v>
      </c>
      <c r="CX10" s="29">
        <v>34592.096033250004</v>
      </c>
      <c r="CY10" s="29">
        <v>35117.534544499998</v>
      </c>
      <c r="CZ10" s="29">
        <v>35806.001688110002</v>
      </c>
      <c r="DA10" s="29">
        <v>35369.05829696</v>
      </c>
      <c r="DB10" s="29">
        <v>34336.387005069999</v>
      </c>
      <c r="DC10" s="29">
        <v>34446.582906429998</v>
      </c>
      <c r="DD10" s="29">
        <v>34994.604260580003</v>
      </c>
      <c r="DE10" s="29">
        <v>28704.49099437</v>
      </c>
      <c r="DF10" s="29">
        <v>29707.95176308</v>
      </c>
      <c r="DG10" s="29">
        <v>29779.832768569999</v>
      </c>
    </row>
    <row r="11" spans="1:111" s="113" customFormat="1" x14ac:dyDescent="0.3">
      <c r="A11" s="107" t="s">
        <v>7</v>
      </c>
      <c r="B11" s="108">
        <f t="shared" ref="B11:I11" si="1">IFERROR(100*(B10/B9),0)</f>
        <v>27.196600941065689</v>
      </c>
      <c r="C11" s="157">
        <f t="shared" si="1"/>
        <v>26.500205082521006</v>
      </c>
      <c r="D11" s="108">
        <f t="shared" si="1"/>
        <v>25.254127854115037</v>
      </c>
      <c r="E11" s="108">
        <f t="shared" si="1"/>
        <v>25.043289674078796</v>
      </c>
      <c r="F11" s="108">
        <f t="shared" si="1"/>
        <v>24.639253654993997</v>
      </c>
      <c r="G11" s="108">
        <f t="shared" si="1"/>
        <v>24.290312113275071</v>
      </c>
      <c r="H11" s="108">
        <f t="shared" si="1"/>
        <v>24.34893729747299</v>
      </c>
      <c r="I11" s="108">
        <f t="shared" si="1"/>
        <v>23.44249156091017</v>
      </c>
      <c r="J11" s="109">
        <v>23.543572089620852</v>
      </c>
      <c r="K11" s="108">
        <v>23.057007051624101</v>
      </c>
      <c r="L11" s="108">
        <v>22.139363227580802</v>
      </c>
      <c r="M11" s="108">
        <v>26.241966255501399</v>
      </c>
      <c r="N11" s="108">
        <v>26.694941133171</v>
      </c>
      <c r="O11" s="108">
        <v>26.4725481188148</v>
      </c>
      <c r="P11" s="108">
        <v>26.2466064713511</v>
      </c>
      <c r="Q11" s="109">
        <v>26.380421687027301</v>
      </c>
      <c r="R11" s="109">
        <v>25.9464054356384</v>
      </c>
      <c r="S11" s="109">
        <v>25.728569624180899</v>
      </c>
      <c r="T11" s="109">
        <v>25.4191688049014</v>
      </c>
      <c r="U11" s="109">
        <v>24.671996867543701</v>
      </c>
      <c r="V11" s="109">
        <v>24.304503497831401</v>
      </c>
      <c r="W11" s="109">
        <v>23.9617235898655</v>
      </c>
      <c r="X11" s="109">
        <v>23.8317207787935</v>
      </c>
      <c r="Y11" s="109">
        <v>23.834293685065798</v>
      </c>
      <c r="Z11" s="109">
        <v>23.445380103059001</v>
      </c>
      <c r="AA11" s="109">
        <v>23.1199514627287</v>
      </c>
      <c r="AB11" s="109">
        <v>22.9014375087975</v>
      </c>
      <c r="AC11" s="109">
        <v>22.651873943053001</v>
      </c>
      <c r="AD11" s="109">
        <v>22.213519727851001</v>
      </c>
      <c r="AE11" s="109">
        <v>22.1760686562648</v>
      </c>
      <c r="AF11" s="109">
        <v>22.005170042976999</v>
      </c>
      <c r="AG11" s="109">
        <v>21.869235865095501</v>
      </c>
      <c r="AH11" s="109">
        <v>21.8925409580261</v>
      </c>
      <c r="AI11" s="109">
        <v>21.4590503387507</v>
      </c>
      <c r="AJ11" s="109">
        <v>21.652531510784499</v>
      </c>
      <c r="AK11" s="109">
        <v>19.946258940980499</v>
      </c>
      <c r="AL11" s="109">
        <v>20.0279103450784</v>
      </c>
      <c r="AM11" s="109">
        <v>19.5121413242288</v>
      </c>
      <c r="AN11" s="109">
        <v>19.426817246837899</v>
      </c>
      <c r="AO11" s="109">
        <v>20.2165361314261</v>
      </c>
      <c r="AP11" s="109">
        <v>20.796480117907599</v>
      </c>
      <c r="AQ11" s="109">
        <v>21.182527891616601</v>
      </c>
      <c r="AR11" s="109">
        <v>21.1211292210476</v>
      </c>
      <c r="AS11" s="109">
        <v>20.957331580299499</v>
      </c>
      <c r="AT11" s="109">
        <v>19.423087810838201</v>
      </c>
      <c r="AU11" s="109">
        <v>15.277665616323199</v>
      </c>
      <c r="AV11" s="109">
        <v>15.028256777233601</v>
      </c>
      <c r="AW11" s="109">
        <v>14.3901017692496</v>
      </c>
      <c r="AX11" s="109">
        <v>14.483638118132401</v>
      </c>
      <c r="AY11" s="109">
        <v>13.9281789243635</v>
      </c>
      <c r="AZ11" s="109">
        <v>13.2774435223001</v>
      </c>
      <c r="BA11" s="109">
        <v>13.264570481582901</v>
      </c>
      <c r="BB11" s="109">
        <v>11.780084947994</v>
      </c>
      <c r="BC11" s="109">
        <v>11.3551278057171</v>
      </c>
      <c r="BD11" s="109">
        <v>10.763793790084099</v>
      </c>
      <c r="BE11" s="109">
        <v>10.540173862224</v>
      </c>
      <c r="BF11" s="109">
        <v>10.0640873365333</v>
      </c>
      <c r="BG11" s="109">
        <v>9.6930964063134208</v>
      </c>
      <c r="BH11" s="109">
        <v>9.5951397933306204</v>
      </c>
      <c r="BI11" s="109">
        <v>9.0001201172707095</v>
      </c>
      <c r="BJ11" s="109">
        <v>8.9120993191813298</v>
      </c>
      <c r="BK11" s="109">
        <v>8.6757513506126465</v>
      </c>
      <c r="BL11" s="109">
        <v>8.7815998510879094</v>
      </c>
      <c r="BM11" s="109">
        <v>8.8726979367712904</v>
      </c>
      <c r="BN11" s="109">
        <v>9.0729842825919391</v>
      </c>
      <c r="BO11" s="109">
        <v>8.6719554740146005</v>
      </c>
      <c r="BP11" s="109">
        <v>9.32487020175064</v>
      </c>
      <c r="BQ11" s="109">
        <v>10.377999777922</v>
      </c>
      <c r="BR11" s="109">
        <v>19.6379469636118</v>
      </c>
      <c r="BS11" s="109">
        <v>22.5319438274379</v>
      </c>
      <c r="BT11" s="109">
        <v>24.469322186782801</v>
      </c>
      <c r="BU11" s="109">
        <v>25.6691130071885</v>
      </c>
      <c r="BV11" s="109">
        <v>27.746006336156402</v>
      </c>
      <c r="BW11" s="109">
        <v>27.7033769058459</v>
      </c>
      <c r="BX11" s="109">
        <v>27.331567968414301</v>
      </c>
      <c r="BY11" s="109">
        <v>26.8922263180953</v>
      </c>
      <c r="BZ11" s="109">
        <v>26.522420584139201</v>
      </c>
      <c r="CA11" s="109">
        <v>25.326941934379001</v>
      </c>
      <c r="CB11" s="109">
        <v>24.239032663629899</v>
      </c>
      <c r="CC11" s="109">
        <v>23.407777448086701</v>
      </c>
      <c r="CD11" s="109">
        <v>22.058717355994499</v>
      </c>
      <c r="CE11" s="109">
        <v>21.391395887791099</v>
      </c>
      <c r="CF11" s="109">
        <v>20.36337214409</v>
      </c>
      <c r="CG11" s="109">
        <v>19.173223289402799</v>
      </c>
      <c r="CH11" s="109">
        <v>18.5675547716015</v>
      </c>
      <c r="CI11" s="109">
        <v>18.115260669637401</v>
      </c>
      <c r="CJ11" s="109">
        <v>17.1449795672685</v>
      </c>
      <c r="CK11" s="109">
        <v>16.3808294801314</v>
      </c>
      <c r="CL11" s="109">
        <v>16.1268330508898</v>
      </c>
      <c r="CM11" s="109">
        <v>15.393885051053701</v>
      </c>
      <c r="CN11" s="111">
        <v>14.617417799899</v>
      </c>
      <c r="CO11" s="111">
        <v>13.5895291160291</v>
      </c>
      <c r="CP11" s="111">
        <v>13.516329788297</v>
      </c>
      <c r="CQ11" s="111">
        <v>13.300510924090201</v>
      </c>
      <c r="CR11" s="111">
        <v>13.044939737328299</v>
      </c>
      <c r="CS11" s="111">
        <v>11.815144943808001</v>
      </c>
      <c r="CT11" s="111">
        <v>12.0348820370328</v>
      </c>
      <c r="CU11" s="111">
        <v>11.794730179306301</v>
      </c>
      <c r="CV11" s="111">
        <v>11.156579915013999</v>
      </c>
      <c r="CW11" s="111">
        <v>11.031826629956599</v>
      </c>
      <c r="CX11" s="111">
        <v>11.0378337369924</v>
      </c>
      <c r="CY11" s="111">
        <v>10.9695984410078</v>
      </c>
      <c r="CZ11" s="111">
        <v>10.8702720352744</v>
      </c>
      <c r="DA11" s="111">
        <v>10.426931471999101</v>
      </c>
      <c r="DB11" s="111">
        <v>10.0112735815542</v>
      </c>
      <c r="DC11" s="111">
        <v>9.8680123826431991</v>
      </c>
      <c r="DD11" s="111">
        <v>9.7427077185552093</v>
      </c>
      <c r="DE11" s="111">
        <v>8.0379681072123805</v>
      </c>
      <c r="DF11" s="111">
        <v>8.1177755596662902</v>
      </c>
      <c r="DG11" s="111">
        <v>8.0169122309466996</v>
      </c>
    </row>
    <row r="12" spans="1:111" s="30" customFormat="1" ht="28.8" x14ac:dyDescent="0.3">
      <c r="A12" s="24" t="s">
        <v>9</v>
      </c>
      <c r="B12" s="25">
        <v>2347.1650516299997</v>
      </c>
      <c r="C12" s="41">
        <v>3502.6423554299995</v>
      </c>
      <c r="D12" s="25">
        <v>4124.9692383399997</v>
      </c>
      <c r="E12" s="25">
        <v>3612.28958573</v>
      </c>
      <c r="F12" s="25">
        <v>2718.1262323199994</v>
      </c>
      <c r="G12" s="25">
        <v>2293.1990700699998</v>
      </c>
      <c r="H12" s="25">
        <v>2121.3778991600002</v>
      </c>
      <c r="I12" s="25">
        <v>1819.0059111099999</v>
      </c>
      <c r="J12" s="25">
        <v>1842.9815743999995</v>
      </c>
      <c r="K12" s="25">
        <v>1720.9734364000001</v>
      </c>
      <c r="L12" s="25">
        <v>1563.53194166</v>
      </c>
      <c r="M12" s="42">
        <v>2537.9668804799999</v>
      </c>
      <c r="N12" s="27">
        <v>2546.3559838199999</v>
      </c>
      <c r="O12" s="42">
        <v>2248.4566296200001</v>
      </c>
      <c r="P12" s="42">
        <v>2644.1329173399999</v>
      </c>
      <c r="Q12" s="42">
        <v>3194.9491597299998</v>
      </c>
      <c r="R12" s="27">
        <v>2606.7416147899999</v>
      </c>
      <c r="S12" s="27">
        <v>3435.72031156</v>
      </c>
      <c r="T12" s="27">
        <v>2829.8488520000001</v>
      </c>
      <c r="U12" s="27">
        <v>3746.4335307199999</v>
      </c>
      <c r="V12" s="27">
        <v>4610.7583286999998</v>
      </c>
      <c r="W12" s="27">
        <v>5532.9089278700003</v>
      </c>
      <c r="X12" s="27">
        <v>5473.7963478600004</v>
      </c>
      <c r="Y12" s="27">
        <v>4515.8787039999997</v>
      </c>
      <c r="Z12" s="27">
        <v>5321.13882646</v>
      </c>
      <c r="AA12" s="27">
        <v>5730.8574796000003</v>
      </c>
      <c r="AB12" s="27">
        <v>5784.6172728000001</v>
      </c>
      <c r="AC12" s="27">
        <v>6455.1854952599997</v>
      </c>
      <c r="AD12" s="27">
        <v>5827.5551351000004</v>
      </c>
      <c r="AE12" s="27">
        <v>5494.0394366500004</v>
      </c>
      <c r="AF12" s="27">
        <v>5799.2295489199996</v>
      </c>
      <c r="AG12" s="27">
        <v>5343.0008835899998</v>
      </c>
      <c r="AH12" s="27">
        <v>5715.5231460100003</v>
      </c>
      <c r="AI12" s="27">
        <v>2294.5370300099999</v>
      </c>
      <c r="AJ12" s="27">
        <v>2385.3810395</v>
      </c>
      <c r="AK12" s="27">
        <v>2306.3363554100001</v>
      </c>
      <c r="AL12" s="27">
        <v>2144.00742158</v>
      </c>
      <c r="AM12" s="27">
        <v>1966.8762000199999</v>
      </c>
      <c r="AN12" s="27">
        <v>1345.8612762</v>
      </c>
      <c r="AO12" s="27">
        <v>1214.9559177799999</v>
      </c>
      <c r="AP12" s="27">
        <v>1662.82776033</v>
      </c>
      <c r="AQ12" s="27">
        <v>1739.2487716200001</v>
      </c>
      <c r="AR12" s="27">
        <v>2176.98961482</v>
      </c>
      <c r="AS12" s="27">
        <v>1648.50011769</v>
      </c>
      <c r="AT12" s="27">
        <v>2568.8561379500002</v>
      </c>
      <c r="AU12" s="27">
        <v>2073.7004126299998</v>
      </c>
      <c r="AV12" s="27">
        <v>2691.4167480800002</v>
      </c>
      <c r="AW12" s="27">
        <v>2471.7385772299999</v>
      </c>
      <c r="AX12" s="27">
        <v>2360.3824265600001</v>
      </c>
      <c r="AY12" s="27">
        <v>2676.2971045300001</v>
      </c>
      <c r="AZ12" s="27">
        <v>2567.0898173700002</v>
      </c>
      <c r="BA12" s="27">
        <v>1823.0992213300001</v>
      </c>
      <c r="BB12" s="27">
        <v>3104.58294712</v>
      </c>
      <c r="BC12" s="27">
        <v>4134.0551399400001</v>
      </c>
      <c r="BD12" s="27">
        <v>4297.08393832</v>
      </c>
      <c r="BE12" s="27">
        <v>2962.0102058699999</v>
      </c>
      <c r="BF12" s="27">
        <v>2468.2401191099998</v>
      </c>
      <c r="BG12" s="27">
        <v>2696.2824754399999</v>
      </c>
      <c r="BH12" s="27">
        <v>4033.52684817</v>
      </c>
      <c r="BI12" s="27">
        <v>2157.7200554400001</v>
      </c>
      <c r="BJ12" s="27">
        <v>3972.0016808999999</v>
      </c>
      <c r="BK12" s="27">
        <v>4375.3775616200001</v>
      </c>
      <c r="BL12" s="27">
        <v>2632.1733838599998</v>
      </c>
      <c r="BM12" s="27">
        <v>2383.96145867</v>
      </c>
      <c r="BN12" s="27">
        <v>1525.1147861500001</v>
      </c>
      <c r="BO12" s="27">
        <v>752.95493999999997</v>
      </c>
      <c r="BP12" s="27">
        <v>653.83855200000005</v>
      </c>
      <c r="BQ12" s="27">
        <v>833.95690816000001</v>
      </c>
      <c r="BR12" s="27">
        <v>876.55519236999999</v>
      </c>
      <c r="BS12" s="27">
        <v>653.83855200000005</v>
      </c>
      <c r="BT12" s="27">
        <v>653.83855200000005</v>
      </c>
      <c r="BU12" s="27">
        <v>653.83855200000005</v>
      </c>
      <c r="BV12" s="27">
        <v>2382.2957188400001</v>
      </c>
      <c r="BW12" s="27">
        <v>2501.98959646</v>
      </c>
      <c r="BX12" s="27">
        <v>2915.0857000199999</v>
      </c>
      <c r="BY12" s="27">
        <v>3923.9020252300002</v>
      </c>
      <c r="BZ12" s="27">
        <v>3013.68370783</v>
      </c>
      <c r="CA12" s="27">
        <v>3258.1301775799998</v>
      </c>
      <c r="CB12" s="27">
        <v>3253.8559674399999</v>
      </c>
      <c r="CC12" s="27">
        <v>3277.3042241100002</v>
      </c>
      <c r="CD12" s="27">
        <v>3105.94463739</v>
      </c>
      <c r="CE12" s="27">
        <v>2655.8441393600001</v>
      </c>
      <c r="CF12" s="27">
        <v>2191.6008659300001</v>
      </c>
      <c r="CG12" s="27">
        <v>2418.4381627399998</v>
      </c>
      <c r="CH12" s="27">
        <v>3239.2156194200002</v>
      </c>
      <c r="CI12" s="27">
        <v>2249.07870512</v>
      </c>
      <c r="CJ12" s="27">
        <v>2192.2851521500002</v>
      </c>
      <c r="CK12" s="27">
        <v>2198.38212122</v>
      </c>
      <c r="CL12" s="27">
        <v>2682.15352244</v>
      </c>
      <c r="CM12" s="27">
        <v>2765.4863472299999</v>
      </c>
      <c r="CN12" s="27">
        <v>4078.4257446299998</v>
      </c>
      <c r="CO12" s="27">
        <v>3895.6640986000002</v>
      </c>
      <c r="CP12" s="27">
        <v>2770.6697766500001</v>
      </c>
      <c r="CQ12" s="27">
        <v>4703.8978820399998</v>
      </c>
      <c r="CR12" s="27">
        <v>5509.25420614</v>
      </c>
      <c r="CS12" s="27">
        <v>5852.4497666099996</v>
      </c>
      <c r="CT12" s="27">
        <v>6278.2198170700003</v>
      </c>
      <c r="CU12" s="27">
        <v>6448.4917050200002</v>
      </c>
      <c r="CV12" s="27">
        <v>6747.7114718800003</v>
      </c>
      <c r="CW12" s="27">
        <v>7289.2911123599997</v>
      </c>
      <c r="CX12" s="27">
        <v>7698.1912116699996</v>
      </c>
      <c r="CY12" s="27">
        <v>8414.8213400200002</v>
      </c>
      <c r="CZ12" s="27">
        <v>8186.2015288599996</v>
      </c>
      <c r="DA12" s="27">
        <v>10130.59299033</v>
      </c>
      <c r="DB12" s="27">
        <v>9271.5410398200002</v>
      </c>
      <c r="DC12" s="27">
        <v>10908.231998310001</v>
      </c>
      <c r="DD12" s="27">
        <v>9530.4942843000008</v>
      </c>
      <c r="DE12" s="27">
        <v>9580.1846178399992</v>
      </c>
      <c r="DF12" s="27">
        <v>11758.970316430001</v>
      </c>
      <c r="DG12" s="27">
        <v>10876.273027159999</v>
      </c>
    </row>
    <row r="13" spans="1:111" s="30" customFormat="1" x14ac:dyDescent="0.3">
      <c r="A13" s="31" t="s">
        <v>6</v>
      </c>
      <c r="B13" s="25">
        <v>121.11107613</v>
      </c>
      <c r="C13" s="25">
        <v>1110.39049823</v>
      </c>
      <c r="D13" s="25">
        <v>1085.0863335099998</v>
      </c>
      <c r="E13" s="25">
        <v>1257.6049477299998</v>
      </c>
      <c r="F13" s="25">
        <v>991.24311297999986</v>
      </c>
      <c r="G13" s="25">
        <v>984.33651742999996</v>
      </c>
      <c r="H13" s="25">
        <v>912.36365360999991</v>
      </c>
      <c r="I13" s="25">
        <v>912.36365360999991</v>
      </c>
      <c r="J13" s="26">
        <v>912.36365360999991</v>
      </c>
      <c r="K13" s="26">
        <v>912.36365361000003</v>
      </c>
      <c r="L13" s="26">
        <v>904.68928861999996</v>
      </c>
      <c r="M13" s="27">
        <v>916.77155454000001</v>
      </c>
      <c r="N13" s="29">
        <v>1059.8999535800001</v>
      </c>
      <c r="O13" s="28">
        <v>961.55605162999996</v>
      </c>
      <c r="P13" s="28">
        <v>962.23499847000005</v>
      </c>
      <c r="Q13" s="28">
        <v>959.63225874</v>
      </c>
      <c r="R13" s="29">
        <v>959.63225874</v>
      </c>
      <c r="S13" s="29">
        <v>960.15534294999998</v>
      </c>
      <c r="T13" s="29">
        <v>1031.1008095100001</v>
      </c>
      <c r="U13" s="29">
        <v>1031.1008095100001</v>
      </c>
      <c r="V13" s="29">
        <v>1031.1008095100001</v>
      </c>
      <c r="W13" s="29">
        <v>1122.4709088899999</v>
      </c>
      <c r="X13" s="29">
        <v>1078.72456878</v>
      </c>
      <c r="Y13" s="29">
        <v>885.10097372999996</v>
      </c>
      <c r="Z13" s="29">
        <v>896.00819120999995</v>
      </c>
      <c r="AA13" s="29">
        <v>899.13897608000002</v>
      </c>
      <c r="AB13" s="29">
        <v>899.78125647000002</v>
      </c>
      <c r="AC13" s="29">
        <v>898.44938781999997</v>
      </c>
      <c r="AD13" s="29">
        <v>824.75239134000003</v>
      </c>
      <c r="AE13" s="29">
        <v>822.73188769000001</v>
      </c>
      <c r="AF13" s="29">
        <v>820.51056820999997</v>
      </c>
      <c r="AG13" s="29">
        <v>818.91151807000006</v>
      </c>
      <c r="AH13" s="29">
        <v>816.33254061000002</v>
      </c>
      <c r="AI13" s="29">
        <v>807.96020739999994</v>
      </c>
      <c r="AJ13" s="29">
        <v>786.56760466000003</v>
      </c>
      <c r="AK13" s="29">
        <v>785.58034439000005</v>
      </c>
      <c r="AL13" s="29">
        <v>784.59304929999996</v>
      </c>
      <c r="AM13" s="29">
        <v>783.56020739999997</v>
      </c>
      <c r="AN13" s="29">
        <v>782.56020739999997</v>
      </c>
      <c r="AO13" s="29">
        <v>781.56020739999997</v>
      </c>
      <c r="AP13" s="29">
        <v>781.06020739999997</v>
      </c>
      <c r="AQ13" s="29">
        <v>775.99095327999999</v>
      </c>
      <c r="AR13" s="29">
        <v>819.99095327999999</v>
      </c>
      <c r="AS13" s="29">
        <v>818.99095327999999</v>
      </c>
      <c r="AT13" s="29">
        <v>790.02455699999996</v>
      </c>
      <c r="AU13" s="29">
        <v>788.82455700000003</v>
      </c>
      <c r="AV13" s="29">
        <v>842.53512327999999</v>
      </c>
      <c r="AW13" s="29">
        <v>792.06153154000003</v>
      </c>
      <c r="AX13" s="29">
        <v>895.12555695000003</v>
      </c>
      <c r="AY13" s="29">
        <v>975.30357182</v>
      </c>
      <c r="AZ13" s="29">
        <v>792.06153154000003</v>
      </c>
      <c r="BA13" s="29">
        <v>792.06153154000003</v>
      </c>
      <c r="BB13" s="29">
        <v>784.91400422000004</v>
      </c>
      <c r="BC13" s="29">
        <v>740.27620694999996</v>
      </c>
      <c r="BD13" s="29">
        <v>444.77464808000002</v>
      </c>
      <c r="BE13" s="29">
        <v>450.45960968000003</v>
      </c>
      <c r="BF13" s="29">
        <v>386.14247363999999</v>
      </c>
      <c r="BG13" s="29">
        <v>255.81474610999999</v>
      </c>
      <c r="BH13" s="29">
        <v>255.81474610999999</v>
      </c>
      <c r="BI13" s="29">
        <v>255.81474610999999</v>
      </c>
      <c r="BJ13" s="29">
        <v>306.44796324999999</v>
      </c>
      <c r="BK13" s="29">
        <v>358.46718461</v>
      </c>
      <c r="BL13" s="29">
        <v>255.81474610999999</v>
      </c>
      <c r="BM13" s="29">
        <v>255.81474610999999</v>
      </c>
      <c r="BN13" s="29">
        <v>0</v>
      </c>
      <c r="BO13" s="29">
        <v>0</v>
      </c>
      <c r="BP13" s="29">
        <v>0</v>
      </c>
      <c r="BQ13" s="29">
        <v>0</v>
      </c>
      <c r="BR13" s="29">
        <v>0</v>
      </c>
      <c r="BS13" s="29">
        <v>0</v>
      </c>
      <c r="BT13" s="29">
        <v>0</v>
      </c>
      <c r="BU13" s="29">
        <v>0</v>
      </c>
      <c r="BV13" s="29">
        <v>0</v>
      </c>
      <c r="BW13" s="29">
        <v>0</v>
      </c>
      <c r="BX13" s="29">
        <v>0</v>
      </c>
      <c r="BY13" s="29">
        <v>0</v>
      </c>
      <c r="BZ13" s="29">
        <v>0</v>
      </c>
      <c r="CA13" s="29">
        <v>0</v>
      </c>
      <c r="CB13" s="29">
        <v>0</v>
      </c>
      <c r="CC13" s="29">
        <v>497.59537999999998</v>
      </c>
      <c r="CD13" s="29">
        <v>497.59537999999998</v>
      </c>
      <c r="CE13" s="29">
        <v>497.59537999999998</v>
      </c>
      <c r="CF13" s="29">
        <v>0</v>
      </c>
      <c r="CG13" s="29">
        <v>0</v>
      </c>
      <c r="CH13" s="29">
        <v>0</v>
      </c>
      <c r="CI13" s="29">
        <v>0</v>
      </c>
      <c r="CJ13" s="29">
        <v>0</v>
      </c>
      <c r="CK13" s="29">
        <v>0</v>
      </c>
      <c r="CL13" s="29">
        <v>0</v>
      </c>
      <c r="CM13" s="29">
        <v>0</v>
      </c>
      <c r="CN13" s="29">
        <v>0</v>
      </c>
      <c r="CO13" s="29">
        <v>0</v>
      </c>
      <c r="CP13" s="29">
        <v>0</v>
      </c>
      <c r="CQ13" s="29">
        <v>0</v>
      </c>
      <c r="CR13" s="29">
        <v>0</v>
      </c>
      <c r="CS13" s="29">
        <v>0</v>
      </c>
      <c r="CT13" s="29">
        <v>0</v>
      </c>
      <c r="CU13" s="29">
        <v>0</v>
      </c>
      <c r="CV13" s="29">
        <v>0</v>
      </c>
      <c r="CW13" s="29">
        <v>150.06486717000001</v>
      </c>
      <c r="CX13" s="29">
        <v>100.32742614999999</v>
      </c>
      <c r="CY13" s="29">
        <v>100.26434811999999</v>
      </c>
      <c r="CZ13" s="29">
        <v>199.86345832000001</v>
      </c>
      <c r="DA13" s="29">
        <v>200.16172711999999</v>
      </c>
      <c r="DB13" s="29">
        <v>200.50799215999999</v>
      </c>
      <c r="DC13" s="29">
        <v>199.91292949999999</v>
      </c>
      <c r="DD13" s="29">
        <v>0</v>
      </c>
      <c r="DE13" s="29">
        <v>0</v>
      </c>
      <c r="DF13" s="29">
        <v>198.16892576000001</v>
      </c>
      <c r="DG13" s="29">
        <v>196.50071631</v>
      </c>
    </row>
    <row r="14" spans="1:111" s="113" customFormat="1" x14ac:dyDescent="0.3">
      <c r="A14" s="107" t="s">
        <v>7</v>
      </c>
      <c r="B14" s="108">
        <f t="shared" ref="B14:I14" si="2">IFERROR(100*(B13/B12),0)</f>
        <v>5.1598875011322214</v>
      </c>
      <c r="C14" s="157">
        <f t="shared" si="2"/>
        <v>31.701509476370266</v>
      </c>
      <c r="D14" s="108">
        <f t="shared" si="2"/>
        <v>26.305319405161633</v>
      </c>
      <c r="E14" s="108">
        <f t="shared" si="2"/>
        <v>34.814621526968551</v>
      </c>
      <c r="F14" s="108">
        <f t="shared" si="2"/>
        <v>36.467883691109712</v>
      </c>
      <c r="G14" s="108">
        <f t="shared" si="2"/>
        <v>42.924163465666901</v>
      </c>
      <c r="H14" s="108">
        <f t="shared" si="2"/>
        <v>43.008068198092744</v>
      </c>
      <c r="I14" s="108">
        <f t="shared" si="2"/>
        <v>50.157267111532043</v>
      </c>
      <c r="J14" s="121">
        <v>49.504762623957802</v>
      </c>
      <c r="K14" s="121">
        <v>53.014394894933297</v>
      </c>
      <c r="L14" s="121">
        <v>57.861900004389597</v>
      </c>
      <c r="M14" s="108">
        <v>36.1222820357141</v>
      </c>
      <c r="N14" s="108">
        <v>41.624186104173702</v>
      </c>
      <c r="O14" s="121">
        <v>42.765158952276899</v>
      </c>
      <c r="P14" s="121">
        <v>36.391324814261203</v>
      </c>
      <c r="Q14" s="121">
        <v>30.035916403161099</v>
      </c>
      <c r="R14" s="121">
        <v>36.813478301619398</v>
      </c>
      <c r="S14" s="121">
        <v>27.946260343701798</v>
      </c>
      <c r="T14" s="121">
        <v>36.436603629245703</v>
      </c>
      <c r="U14" s="121">
        <v>27.522196805446601</v>
      </c>
      <c r="V14" s="121">
        <v>22.3629332965</v>
      </c>
      <c r="W14" s="121">
        <v>20.2871748572611</v>
      </c>
      <c r="X14" s="121">
        <v>19.707064352179099</v>
      </c>
      <c r="Y14" s="121">
        <v>19.599750829135601</v>
      </c>
      <c r="Z14" s="121">
        <v>16.8386546645709</v>
      </c>
      <c r="AA14" s="121">
        <v>15.6894318045885</v>
      </c>
      <c r="AB14" s="121">
        <v>15.5547240904059</v>
      </c>
      <c r="AC14" s="121">
        <v>13.9182582511335</v>
      </c>
      <c r="AD14" s="121">
        <v>14.1526312873889</v>
      </c>
      <c r="AE14" s="121">
        <v>14.9749905725406</v>
      </c>
      <c r="AF14" s="121">
        <v>14.148613385424699</v>
      </c>
      <c r="AG14" s="121">
        <v>15.326808584013699</v>
      </c>
      <c r="AH14" s="121">
        <v>14.282726528364799</v>
      </c>
      <c r="AI14" s="121">
        <v>35.212341175268797</v>
      </c>
      <c r="AJ14" s="121">
        <v>32.974505608750597</v>
      </c>
      <c r="AK14" s="121">
        <v>34.061828949938501</v>
      </c>
      <c r="AL14" s="121">
        <v>36.594698385969401</v>
      </c>
      <c r="AM14" s="121">
        <v>39.837800029917098</v>
      </c>
      <c r="AN14" s="121">
        <v>58.1456812257453</v>
      </c>
      <c r="AO14" s="121">
        <v>64.328276932720996</v>
      </c>
      <c r="AP14" s="121">
        <v>46.971804659130399</v>
      </c>
      <c r="AQ14" s="121">
        <v>44.6164439464984</v>
      </c>
      <c r="AR14" s="121">
        <v>37.666277675274998</v>
      </c>
      <c r="AS14" s="121">
        <v>49.680976330631403</v>
      </c>
      <c r="AT14" s="121">
        <v>30.753943178400601</v>
      </c>
      <c r="AU14" s="121">
        <v>38.039465691168097</v>
      </c>
      <c r="AV14" s="121">
        <v>31.30452108099</v>
      </c>
      <c r="AW14" s="121">
        <v>32.044712933502801</v>
      </c>
      <c r="AX14" s="121">
        <v>37.922903800573899</v>
      </c>
      <c r="AY14" s="121">
        <v>36.442275791023498</v>
      </c>
      <c r="AZ14" s="121">
        <v>30.854453404029002</v>
      </c>
      <c r="BA14" s="121">
        <v>43.445881731119897</v>
      </c>
      <c r="BB14" s="121">
        <v>25.282429801018299</v>
      </c>
      <c r="BC14" s="121">
        <v>17.9067811601745</v>
      </c>
      <c r="BD14" s="121">
        <v>10.350615777216801</v>
      </c>
      <c r="BE14" s="121">
        <v>15.2079020115223</v>
      </c>
      <c r="BF14" s="121">
        <v>15.6444452324693</v>
      </c>
      <c r="BG14" s="121">
        <v>9.4876834471230307</v>
      </c>
      <c r="BH14" s="121">
        <v>6.3422100741950498</v>
      </c>
      <c r="BI14" s="121">
        <v>11.855789422962699</v>
      </c>
      <c r="BJ14" s="121">
        <v>7.71520225491353</v>
      </c>
      <c r="BK14" s="121">
        <v>8.192828608767563</v>
      </c>
      <c r="BL14" s="121">
        <v>9.7187650205191094</v>
      </c>
      <c r="BM14" s="121">
        <v>10.7306577956473</v>
      </c>
      <c r="BN14" s="121">
        <v>0</v>
      </c>
      <c r="BO14" s="121">
        <v>0</v>
      </c>
      <c r="BP14" s="121">
        <v>0</v>
      </c>
      <c r="BQ14" s="121">
        <v>0</v>
      </c>
      <c r="BR14" s="121">
        <v>0</v>
      </c>
      <c r="BS14" s="121">
        <v>0</v>
      </c>
      <c r="BT14" s="121">
        <v>0</v>
      </c>
      <c r="BU14" s="121">
        <v>0</v>
      </c>
      <c r="BV14" s="121">
        <v>0</v>
      </c>
      <c r="BW14" s="121">
        <v>0</v>
      </c>
      <c r="BX14" s="121">
        <v>0</v>
      </c>
      <c r="BY14" s="121">
        <v>0</v>
      </c>
      <c r="BZ14" s="121">
        <v>0</v>
      </c>
      <c r="CA14" s="121">
        <v>0</v>
      </c>
      <c r="CB14" s="121">
        <v>0</v>
      </c>
      <c r="CC14" s="121">
        <v>15.1830695587966</v>
      </c>
      <c r="CD14" s="121">
        <v>16.020742095974398</v>
      </c>
      <c r="CE14" s="121">
        <v>18.735865280102999</v>
      </c>
      <c r="CF14" s="121">
        <v>0</v>
      </c>
      <c r="CG14" s="121">
        <v>0</v>
      </c>
      <c r="CH14" s="121">
        <v>0</v>
      </c>
      <c r="CI14" s="121">
        <v>0</v>
      </c>
      <c r="CJ14" s="121">
        <v>0</v>
      </c>
      <c r="CK14" s="121">
        <v>0</v>
      </c>
      <c r="CL14" s="121">
        <v>0</v>
      </c>
      <c r="CM14" s="121">
        <v>0</v>
      </c>
      <c r="CN14" s="159">
        <v>0</v>
      </c>
      <c r="CO14" s="159">
        <v>0</v>
      </c>
      <c r="CP14" s="159">
        <v>0</v>
      </c>
      <c r="CQ14" s="159">
        <v>0</v>
      </c>
      <c r="CR14" s="159">
        <v>0</v>
      </c>
      <c r="CS14" s="159">
        <v>0</v>
      </c>
      <c r="CT14" s="159">
        <v>0</v>
      </c>
      <c r="CU14" s="159">
        <v>0</v>
      </c>
      <c r="CV14" s="159">
        <v>0</v>
      </c>
      <c r="CW14" s="159">
        <v>2.0587031695790601</v>
      </c>
      <c r="CX14" s="159">
        <v>1.3032597319472901</v>
      </c>
      <c r="CY14" s="159">
        <v>1.1915208186673401</v>
      </c>
      <c r="CZ14" s="159">
        <v>2.4414676039356298</v>
      </c>
      <c r="DA14" s="159">
        <v>1.9758145185682701</v>
      </c>
      <c r="DB14" s="159">
        <v>2.1626177492915799</v>
      </c>
      <c r="DC14" s="159">
        <v>1.8326794803316599</v>
      </c>
      <c r="DD14" s="159">
        <v>0</v>
      </c>
      <c r="DE14" s="159">
        <v>0</v>
      </c>
      <c r="DF14" s="159">
        <v>1.68525747091233</v>
      </c>
      <c r="DG14" s="159">
        <v>1.8066916472150201</v>
      </c>
    </row>
    <row r="15" spans="1:111" s="30" customFormat="1" ht="28.8" x14ac:dyDescent="0.3">
      <c r="A15" s="48" t="s">
        <v>10</v>
      </c>
      <c r="B15" s="19">
        <v>118.27895040999998</v>
      </c>
      <c r="C15" s="49">
        <v>1394.52908585</v>
      </c>
      <c r="D15" s="19">
        <v>1380.8398086599998</v>
      </c>
      <c r="E15" s="19">
        <v>1336.0598926699997</v>
      </c>
      <c r="F15" s="19">
        <v>1338.3042129800001</v>
      </c>
      <c r="G15" s="19">
        <v>1337.15589497</v>
      </c>
      <c r="H15" s="19">
        <v>1296.0658225699999</v>
      </c>
      <c r="I15" s="19">
        <v>1059.6643019999999</v>
      </c>
      <c r="J15" s="19">
        <v>1055.0268051199998</v>
      </c>
      <c r="K15" s="19">
        <v>1014.10435081</v>
      </c>
      <c r="L15" s="19">
        <v>1013.85454328</v>
      </c>
      <c r="M15" s="43">
        <v>1519.2626478300001</v>
      </c>
      <c r="N15" s="43">
        <v>1571.0581888900001</v>
      </c>
      <c r="O15" s="43">
        <v>1585.3672606800001</v>
      </c>
      <c r="P15" s="43">
        <v>1653.76412121</v>
      </c>
      <c r="Q15" s="43">
        <v>1620.5644923100001</v>
      </c>
      <c r="R15" s="43">
        <v>997.60047051000004</v>
      </c>
      <c r="S15" s="43">
        <v>1626.77117481</v>
      </c>
      <c r="T15" s="43">
        <v>1833.6535921499999</v>
      </c>
      <c r="U15" s="43">
        <v>2090.7579150900001</v>
      </c>
      <c r="V15" s="43">
        <v>2315.6536140500002</v>
      </c>
      <c r="W15" s="43">
        <v>2394.4823314800001</v>
      </c>
      <c r="X15" s="43">
        <v>2510.0055527200002</v>
      </c>
      <c r="Y15" s="43">
        <v>2866.9482981000001</v>
      </c>
      <c r="Z15" s="43">
        <v>2751.53932562</v>
      </c>
      <c r="AA15" s="43">
        <v>2738.2791501500001</v>
      </c>
      <c r="AB15" s="43">
        <v>2765.8501615199998</v>
      </c>
      <c r="AC15" s="43">
        <v>2764.8532404600001</v>
      </c>
      <c r="AD15" s="43">
        <v>2721.9539654199998</v>
      </c>
      <c r="AE15" s="43">
        <v>2750.7493128199999</v>
      </c>
      <c r="AF15" s="43">
        <v>2732.3890480300001</v>
      </c>
      <c r="AG15" s="43">
        <v>2817.9896453000001</v>
      </c>
      <c r="AH15" s="43">
        <v>3165.5684216999998</v>
      </c>
      <c r="AI15" s="43">
        <v>3733.8442365699998</v>
      </c>
      <c r="AJ15" s="43">
        <v>4061.9842708599999</v>
      </c>
      <c r="AK15" s="43">
        <v>4716.68840843</v>
      </c>
      <c r="AL15" s="43">
        <v>4517.79635813</v>
      </c>
      <c r="AM15" s="43">
        <v>4429.2551020999999</v>
      </c>
      <c r="AN15" s="43">
        <v>4412.1929503499996</v>
      </c>
      <c r="AO15" s="43">
        <v>4556.1238499700003</v>
      </c>
      <c r="AP15" s="43">
        <v>4757.4662162000004</v>
      </c>
      <c r="AQ15" s="43">
        <v>5145.8122913300003</v>
      </c>
      <c r="AR15" s="43">
        <v>5404.4989675200004</v>
      </c>
      <c r="AS15" s="43">
        <v>5679.9290295500005</v>
      </c>
      <c r="AT15" s="43">
        <v>6256.1929848299997</v>
      </c>
      <c r="AU15" s="43">
        <v>6393.0568066300002</v>
      </c>
      <c r="AV15" s="43">
        <v>6754.6446397299997</v>
      </c>
      <c r="AW15" s="43">
        <v>11733.839516489999</v>
      </c>
      <c r="AX15" s="43">
        <v>11555.91330631</v>
      </c>
      <c r="AY15" s="43">
        <v>11254.45985282</v>
      </c>
      <c r="AZ15" s="43">
        <v>11243.46461348</v>
      </c>
      <c r="BA15" s="43">
        <v>10908.81365688</v>
      </c>
      <c r="BB15" s="43">
        <v>10812.23086489</v>
      </c>
      <c r="BC15" s="43">
        <v>11211.62640406</v>
      </c>
      <c r="BD15" s="43">
        <v>11419.992180560001</v>
      </c>
      <c r="BE15" s="43">
        <v>12126.36484402</v>
      </c>
      <c r="BF15" s="43">
        <v>12474.2200417</v>
      </c>
      <c r="BG15" s="43">
        <v>12874.134269280001</v>
      </c>
      <c r="BH15" s="43">
        <v>15151.68776307</v>
      </c>
      <c r="BI15" s="43">
        <v>16804.522409929999</v>
      </c>
      <c r="BJ15" s="43">
        <v>16633.996856649999</v>
      </c>
      <c r="BK15" s="43">
        <v>16217.681538569997</v>
      </c>
      <c r="BL15" s="43">
        <v>16000.985897099999</v>
      </c>
      <c r="BM15" s="43">
        <v>15948.24011097</v>
      </c>
      <c r="BN15" s="43">
        <v>15849.27792325</v>
      </c>
      <c r="BO15" s="43">
        <v>15242.005334879999</v>
      </c>
      <c r="BP15" s="43">
        <v>14644.9028724</v>
      </c>
      <c r="BQ15" s="43">
        <v>14501.02851342</v>
      </c>
      <c r="BR15" s="43">
        <v>13377.233099319999</v>
      </c>
      <c r="BS15" s="43">
        <v>12642.152554910001</v>
      </c>
      <c r="BT15" s="43">
        <v>12268.400207660001</v>
      </c>
      <c r="BU15" s="43">
        <v>11081.532719430001</v>
      </c>
      <c r="BV15" s="43">
        <v>10510.614867800001</v>
      </c>
      <c r="BW15" s="43">
        <v>9748.9386978700004</v>
      </c>
      <c r="BX15" s="43">
        <v>8941.3553137100007</v>
      </c>
      <c r="BY15" s="43">
        <v>8284.0427046500008</v>
      </c>
      <c r="BZ15" s="43">
        <v>7515.2351563900002</v>
      </c>
      <c r="CA15" s="43">
        <v>7112.0839924399997</v>
      </c>
      <c r="CB15" s="43">
        <v>6693.0774488899997</v>
      </c>
      <c r="CC15" s="43">
        <v>6536.0104496100003</v>
      </c>
      <c r="CD15" s="43">
        <v>6351.4043543899998</v>
      </c>
      <c r="CE15" s="43">
        <v>6121.2843518400005</v>
      </c>
      <c r="CF15" s="43">
        <v>5680.4819104999997</v>
      </c>
      <c r="CG15" s="43">
        <v>5695.7825427999996</v>
      </c>
      <c r="CH15" s="43">
        <v>5481.4282620699996</v>
      </c>
      <c r="CI15" s="43">
        <v>5290.0843394100002</v>
      </c>
      <c r="CJ15" s="43">
        <v>5163.6129856799998</v>
      </c>
      <c r="CK15" s="43">
        <v>4886.3029831399999</v>
      </c>
      <c r="CL15" s="43">
        <v>4750.6522447400002</v>
      </c>
      <c r="CM15" s="43">
        <v>4669.2460539599997</v>
      </c>
      <c r="CN15" s="43">
        <v>4423.4461097000003</v>
      </c>
      <c r="CO15" s="43">
        <v>4297.7120111100003</v>
      </c>
      <c r="CP15" s="43">
        <v>4187.3071835500004</v>
      </c>
      <c r="CQ15" s="43">
        <v>4027.8748331000002</v>
      </c>
      <c r="CR15" s="43">
        <v>3795.7050485700001</v>
      </c>
      <c r="CS15" s="43">
        <v>3808.8072083100001</v>
      </c>
      <c r="CT15" s="43">
        <v>3559.1202763900001</v>
      </c>
      <c r="CU15" s="43">
        <v>3339.53599308</v>
      </c>
      <c r="CV15" s="43">
        <v>3204.1058048899999</v>
      </c>
      <c r="CW15" s="43">
        <v>3007.6727516800001</v>
      </c>
      <c r="CX15" s="43">
        <v>3290.2558888899998</v>
      </c>
      <c r="CY15" s="43">
        <v>3236.3669673200002</v>
      </c>
      <c r="CZ15" s="43">
        <v>3366.0625495999998</v>
      </c>
      <c r="DA15" s="43">
        <v>3450.3753202299999</v>
      </c>
      <c r="DB15" s="43">
        <v>3670.7906996500001</v>
      </c>
      <c r="DC15" s="43">
        <v>3744.9669402300001</v>
      </c>
      <c r="DD15" s="43">
        <v>3857.1153274399999</v>
      </c>
      <c r="DE15" s="43">
        <v>4463.7051056299997</v>
      </c>
      <c r="DF15" s="43">
        <v>4297.00850197</v>
      </c>
      <c r="DG15" s="43">
        <v>4014.9840929000002</v>
      </c>
    </row>
    <row r="16" spans="1:111" s="30" customFormat="1" x14ac:dyDescent="0.3">
      <c r="A16" s="31" t="s">
        <v>6</v>
      </c>
      <c r="B16" s="25">
        <v>14.157930310000001</v>
      </c>
      <c r="C16" s="25">
        <v>265.32747592999999</v>
      </c>
      <c r="D16" s="25">
        <v>251.20354227000001</v>
      </c>
      <c r="E16" s="25">
        <v>251.20354227000001</v>
      </c>
      <c r="F16" s="25">
        <v>251.20354227000001</v>
      </c>
      <c r="G16" s="25">
        <v>251.20354227000001</v>
      </c>
      <c r="H16" s="25">
        <v>251.20354227000001</v>
      </c>
      <c r="I16" s="25">
        <v>14.74454227</v>
      </c>
      <c r="J16" s="25">
        <v>10.454621830000001</v>
      </c>
      <c r="K16" s="25">
        <v>10.454621830000001</v>
      </c>
      <c r="L16" s="26">
        <v>10.454621830000001</v>
      </c>
      <c r="M16" s="29">
        <v>10.454621830000001</v>
      </c>
      <c r="N16" s="29">
        <v>75.470316229999995</v>
      </c>
      <c r="O16" s="29">
        <v>75.470316229999995</v>
      </c>
      <c r="P16" s="29">
        <v>950.72116764999998</v>
      </c>
      <c r="Q16" s="29">
        <v>912.75937256999998</v>
      </c>
      <c r="R16" s="29">
        <v>912.68743356000004</v>
      </c>
      <c r="S16" s="29">
        <v>917.13042588999997</v>
      </c>
      <c r="T16" s="29">
        <v>879.02668882</v>
      </c>
      <c r="U16" s="29">
        <v>877.69762087000004</v>
      </c>
      <c r="V16" s="29">
        <v>876.84829873000001</v>
      </c>
      <c r="W16" s="29">
        <v>876.49888693000003</v>
      </c>
      <c r="X16" s="29">
        <v>875.15533061999997</v>
      </c>
      <c r="Y16" s="29">
        <v>837.72679420999998</v>
      </c>
      <c r="Z16" s="29">
        <v>799.69487475000005</v>
      </c>
      <c r="AA16" s="29">
        <v>798.04156810999996</v>
      </c>
      <c r="AB16" s="29">
        <v>799.12513954999997</v>
      </c>
      <c r="AC16" s="29">
        <v>761.12305817000004</v>
      </c>
      <c r="AD16" s="29">
        <v>75.475620890000002</v>
      </c>
      <c r="AE16" s="29">
        <v>75.475954799999997</v>
      </c>
      <c r="AF16" s="29">
        <v>75.476291849999996</v>
      </c>
      <c r="AG16" s="29">
        <v>722.40700244000004</v>
      </c>
      <c r="AH16" s="29">
        <v>721.88341298</v>
      </c>
      <c r="AI16" s="29">
        <v>684.46553057999995</v>
      </c>
      <c r="AJ16" s="29">
        <v>683.32351673000005</v>
      </c>
      <c r="AK16" s="29">
        <v>682.96239288000004</v>
      </c>
      <c r="AL16" s="29">
        <v>644.99616265999998</v>
      </c>
      <c r="AM16" s="29">
        <v>644.41851792</v>
      </c>
      <c r="AN16" s="29">
        <v>643.12246342000003</v>
      </c>
      <c r="AO16" s="29">
        <v>75.888878829999996</v>
      </c>
      <c r="AP16" s="29">
        <v>76.348346489999997</v>
      </c>
      <c r="AQ16" s="29">
        <v>75.481983170000007</v>
      </c>
      <c r="AR16" s="29">
        <v>75.482523979999996</v>
      </c>
      <c r="AS16" s="29">
        <v>273.86784459</v>
      </c>
      <c r="AT16" s="29">
        <v>75.484822649999998</v>
      </c>
      <c r="AU16" s="29">
        <v>0.45116758000000001</v>
      </c>
      <c r="AV16" s="29">
        <v>1.0903313400000001</v>
      </c>
      <c r="AW16" s="29">
        <v>0.30000220999999999</v>
      </c>
      <c r="AX16" s="29">
        <v>0.30000220999999999</v>
      </c>
      <c r="AY16" s="29">
        <v>0.30000220999999999</v>
      </c>
      <c r="AZ16" s="29">
        <v>0.30000220999999999</v>
      </c>
      <c r="BA16" s="29">
        <v>0.30837787999999999</v>
      </c>
      <c r="BB16" s="29">
        <v>0.30000220999999999</v>
      </c>
      <c r="BC16" s="29">
        <v>0.30000220999999999</v>
      </c>
      <c r="BD16" s="29">
        <v>0.30000220999999999</v>
      </c>
      <c r="BE16" s="29">
        <v>0.30000220999999999</v>
      </c>
      <c r="BF16" s="29">
        <v>0.30000220999999999</v>
      </c>
      <c r="BG16" s="29">
        <v>0.30000220999999999</v>
      </c>
      <c r="BH16" s="29">
        <v>0.30000220999999999</v>
      </c>
      <c r="BI16" s="29">
        <v>0.30000220999999999</v>
      </c>
      <c r="BJ16" s="29">
        <v>0.30000220999999999</v>
      </c>
      <c r="BK16" s="29">
        <v>5.7805768199999994</v>
      </c>
      <c r="BL16" s="29">
        <v>0.3</v>
      </c>
      <c r="BM16" s="29">
        <v>231.45668386</v>
      </c>
      <c r="BN16" s="29">
        <v>233.16914327000001</v>
      </c>
      <c r="BO16" s="29">
        <v>236.87399829</v>
      </c>
      <c r="BP16" s="29">
        <v>243.18335773999999</v>
      </c>
      <c r="BQ16" s="29">
        <v>245.57881362000001</v>
      </c>
      <c r="BR16" s="29">
        <v>247.77070900999999</v>
      </c>
      <c r="BS16" s="29">
        <v>240.60254162000001</v>
      </c>
      <c r="BT16" s="29">
        <v>234.19647054000001</v>
      </c>
      <c r="BU16" s="29">
        <v>506.79270117999999</v>
      </c>
      <c r="BV16" s="29">
        <v>509.55537766999998</v>
      </c>
      <c r="BW16" s="29">
        <v>504.84502027000002</v>
      </c>
      <c r="BX16" s="29">
        <v>500.43809933</v>
      </c>
      <c r="BY16" s="29">
        <v>495.58635552999999</v>
      </c>
      <c r="BZ16" s="29">
        <v>469.81595061000002</v>
      </c>
      <c r="CA16" s="29">
        <v>209.16810853000001</v>
      </c>
      <c r="CB16" s="29">
        <v>203.69591403999999</v>
      </c>
      <c r="CC16" s="29">
        <v>202.09312277000001</v>
      </c>
      <c r="CD16" s="29">
        <v>202.49257721999999</v>
      </c>
      <c r="CE16" s="29">
        <v>198.60847272000001</v>
      </c>
      <c r="CF16" s="29">
        <v>196.93752040999999</v>
      </c>
      <c r="CG16" s="29">
        <v>191.33207722</v>
      </c>
      <c r="CH16" s="29">
        <v>186.57911127</v>
      </c>
      <c r="CI16" s="29">
        <v>184.87424271</v>
      </c>
      <c r="CJ16" s="29">
        <v>131.18087209999999</v>
      </c>
      <c r="CK16" s="29">
        <v>129.17400405999999</v>
      </c>
      <c r="CL16" s="29">
        <v>123.96943697</v>
      </c>
      <c r="CM16" s="29">
        <v>116.98997109</v>
      </c>
      <c r="CN16" s="29">
        <v>109.98993994</v>
      </c>
      <c r="CO16" s="29">
        <v>99.396116789999994</v>
      </c>
      <c r="CP16" s="29">
        <v>89.396011279999996</v>
      </c>
      <c r="CQ16" s="29">
        <v>77.747502990000001</v>
      </c>
      <c r="CR16" s="29">
        <v>67.471183269999997</v>
      </c>
      <c r="CS16" s="29">
        <v>67.470655219999998</v>
      </c>
      <c r="CT16" s="29">
        <v>48.470963519999998</v>
      </c>
      <c r="CU16" s="29">
        <v>13.18141106</v>
      </c>
      <c r="CV16" s="29">
        <v>31.20503038</v>
      </c>
      <c r="CW16" s="29">
        <v>25.583274769999999</v>
      </c>
      <c r="CX16" s="29">
        <v>25.57185557</v>
      </c>
      <c r="CY16" s="29">
        <v>25.566145980000002</v>
      </c>
      <c r="CZ16" s="29">
        <v>20.159336270000001</v>
      </c>
      <c r="DA16" s="29">
        <v>20.16022718</v>
      </c>
      <c r="DB16" s="29">
        <v>20.154453950000001</v>
      </c>
      <c r="DC16" s="29">
        <v>20.16022718</v>
      </c>
      <c r="DD16" s="29">
        <v>20.154453950000001</v>
      </c>
      <c r="DE16" s="29">
        <v>13.027264000000001</v>
      </c>
      <c r="DF16" s="29">
        <v>11.372381880000001</v>
      </c>
      <c r="DG16" s="29">
        <v>9.5088387700000006</v>
      </c>
    </row>
    <row r="17" spans="1:111" s="113" customFormat="1" x14ac:dyDescent="0.3">
      <c r="A17" s="107" t="s">
        <v>7</v>
      </c>
      <c r="B17" s="108">
        <f t="shared" ref="B17:I17" si="3">IFERROR(100*(B16/B15),0)</f>
        <v>11.969949226741708</v>
      </c>
      <c r="C17" s="157">
        <f t="shared" si="3"/>
        <v>19.026313514879206</v>
      </c>
      <c r="D17" s="108">
        <f t="shared" si="3"/>
        <v>18.192084316701006</v>
      </c>
      <c r="E17" s="108">
        <f t="shared" si="3"/>
        <v>18.801817467029231</v>
      </c>
      <c r="F17" s="108">
        <f t="shared" si="3"/>
        <v>18.770287041886046</v>
      </c>
      <c r="G17" s="108">
        <f t="shared" si="3"/>
        <v>18.786406522601908</v>
      </c>
      <c r="H17" s="108">
        <f t="shared" si="3"/>
        <v>19.382004979645441</v>
      </c>
      <c r="I17" s="108">
        <f t="shared" si="3"/>
        <v>1.391435216055811</v>
      </c>
      <c r="J17" s="108">
        <v>0.99093423780933043</v>
      </c>
      <c r="K17" s="108">
        <v>1.0309217016621199</v>
      </c>
      <c r="L17" s="109">
        <v>1.0311757144350699</v>
      </c>
      <c r="M17" s="108">
        <v>0.68813788352742</v>
      </c>
      <c r="N17" s="109">
        <v>4.8037887306594298</v>
      </c>
      <c r="O17" s="109">
        <v>4.76043110652033</v>
      </c>
      <c r="P17" s="109">
        <v>57.488317436369996</v>
      </c>
      <c r="Q17" s="109">
        <v>56.323545091928203</v>
      </c>
      <c r="R17" s="109">
        <v>91.4882721630444</v>
      </c>
      <c r="S17" s="109">
        <v>56.3773467400611</v>
      </c>
      <c r="T17" s="109">
        <v>47.938536078088902</v>
      </c>
      <c r="U17" s="109">
        <v>41.979877944511699</v>
      </c>
      <c r="V17" s="109">
        <v>37.866125287901802</v>
      </c>
      <c r="W17" s="109">
        <v>36.604942763902002</v>
      </c>
      <c r="X17" s="109">
        <v>34.866669106433903</v>
      </c>
      <c r="Y17" s="109">
        <v>29.220157013824899</v>
      </c>
      <c r="Z17" s="109">
        <v>29.063545169204701</v>
      </c>
      <c r="AA17" s="109">
        <v>29.143908431186901</v>
      </c>
      <c r="AB17" s="109">
        <v>28.892568030902801</v>
      </c>
      <c r="AC17" s="109">
        <v>27.5285156923327</v>
      </c>
      <c r="AD17" s="109">
        <v>2.7728470741551998</v>
      </c>
      <c r="AE17" s="109">
        <v>2.7438325422182501</v>
      </c>
      <c r="AF17" s="109">
        <v>2.76228203682843</v>
      </c>
      <c r="AG17" s="109">
        <v>25.635544958260301</v>
      </c>
      <c r="AH17" s="109">
        <v>22.804227134421801</v>
      </c>
      <c r="AI17" s="109">
        <v>18.331389506723699</v>
      </c>
      <c r="AJ17" s="109">
        <v>16.8224067639072</v>
      </c>
      <c r="AK17" s="109">
        <v>14.479701301857499</v>
      </c>
      <c r="AL17" s="109">
        <v>14.2767869892873</v>
      </c>
      <c r="AM17" s="109">
        <v>14.549139822957301</v>
      </c>
      <c r="AN17" s="109">
        <v>14.576027627463199</v>
      </c>
      <c r="AO17" s="109">
        <v>1.66564565251008</v>
      </c>
      <c r="AP17" s="109">
        <v>1.6048111120583599</v>
      </c>
      <c r="AQ17" s="109">
        <v>1.4668623512982999</v>
      </c>
      <c r="AR17" s="109">
        <v>1.39666090110546</v>
      </c>
      <c r="AS17" s="109">
        <v>4.8216772280990599</v>
      </c>
      <c r="AT17" s="109">
        <v>1.20656160756286</v>
      </c>
      <c r="AU17" s="109">
        <v>7.0571495553130598E-3</v>
      </c>
      <c r="AV17" s="109">
        <v>1.6141949697646599E-2</v>
      </c>
      <c r="AW17" s="109">
        <v>2.5567267182953698E-3</v>
      </c>
      <c r="AX17" s="109">
        <v>2.5960925982041298E-3</v>
      </c>
      <c r="AY17" s="109">
        <v>2.6656295719499098E-3</v>
      </c>
      <c r="AZ17" s="109">
        <v>2.6682363516341901E-3</v>
      </c>
      <c r="BA17" s="109">
        <v>2.8268690776059899E-3</v>
      </c>
      <c r="BB17" s="109">
        <v>2.7746559775576199E-3</v>
      </c>
      <c r="BC17" s="109">
        <v>2.6758134742285201E-3</v>
      </c>
      <c r="BD17" s="109">
        <v>2.6269913784239501E-3</v>
      </c>
      <c r="BE17" s="109">
        <v>2.47396655023078E-3</v>
      </c>
      <c r="BF17" s="109">
        <v>2.4049776979813099E-3</v>
      </c>
      <c r="BG17" s="109">
        <v>2.3302709426905599E-3</v>
      </c>
      <c r="BH17" s="109">
        <v>1.97999202921282E-3</v>
      </c>
      <c r="BI17" s="109">
        <v>1.78524686796648E-3</v>
      </c>
      <c r="BJ17" s="109">
        <v>1.8035485553194899E-3</v>
      </c>
      <c r="BK17" s="109">
        <v>3.5643669572942571E-2</v>
      </c>
      <c r="BL17" s="109">
        <v>1.8748844723022501E-3</v>
      </c>
      <c r="BM17" s="109">
        <v>1.4512992170264101</v>
      </c>
      <c r="BN17" s="109">
        <v>1.4711657174485799</v>
      </c>
      <c r="BO17" s="109">
        <v>1.5540868349385399</v>
      </c>
      <c r="BP17" s="109">
        <v>1.6605324040646701</v>
      </c>
      <c r="BQ17" s="109">
        <v>1.6935268653028901</v>
      </c>
      <c r="BR17" s="109">
        <v>1.8521820407136</v>
      </c>
      <c r="BS17" s="109">
        <v>1.90317701495031</v>
      </c>
      <c r="BT17" s="109">
        <v>1.90894058374274</v>
      </c>
      <c r="BU17" s="109">
        <v>4.5733087110901698</v>
      </c>
      <c r="BV17" s="109">
        <v>4.8480073152623904</v>
      </c>
      <c r="BW17" s="109">
        <v>5.1784613270806696</v>
      </c>
      <c r="BX17" s="109">
        <v>5.5968931081697004</v>
      </c>
      <c r="BY17" s="109">
        <v>5.9824215446380702</v>
      </c>
      <c r="BZ17" s="109">
        <v>6.2515136364100101</v>
      </c>
      <c r="CA17" s="109">
        <v>2.9410241604618501</v>
      </c>
      <c r="CB17" s="109">
        <v>3.04338199573324</v>
      </c>
      <c r="CC17" s="109">
        <v>3.09199509896834</v>
      </c>
      <c r="CD17" s="109">
        <v>3.1881543973820499</v>
      </c>
      <c r="CE17" s="109">
        <v>3.24455557533935</v>
      </c>
      <c r="CF17" s="109">
        <v>3.46691572146324</v>
      </c>
      <c r="CG17" s="109">
        <v>3.3591885887894599</v>
      </c>
      <c r="CH17" s="109">
        <v>3.4038411587191102</v>
      </c>
      <c r="CI17" s="109">
        <v>3.4947314796614202</v>
      </c>
      <c r="CJ17" s="109">
        <v>2.54048613759005</v>
      </c>
      <c r="CK17" s="109">
        <v>2.6435938275974702</v>
      </c>
      <c r="CL17" s="109">
        <v>2.6095245575438799</v>
      </c>
      <c r="CM17" s="109">
        <v>2.50554307350713</v>
      </c>
      <c r="CN17" s="111">
        <v>2.4865215312289499</v>
      </c>
      <c r="CO17" s="111">
        <v>2.3127682016163802</v>
      </c>
      <c r="CP17" s="111">
        <v>2.1349284244345799</v>
      </c>
      <c r="CQ17" s="111">
        <v>1.9302363209276501</v>
      </c>
      <c r="CR17" s="111">
        <v>1.77756654973545</v>
      </c>
      <c r="CS17" s="111">
        <v>1.7714379208481199</v>
      </c>
      <c r="CT17" s="111">
        <v>1.3618804579755299</v>
      </c>
      <c r="CU17" s="111">
        <v>0.39470786023309201</v>
      </c>
      <c r="CV17" s="111">
        <v>0.97390761354933797</v>
      </c>
      <c r="CW17" s="111">
        <v>0.85060034392737405</v>
      </c>
      <c r="CX17" s="111">
        <v>0.77719959886241297</v>
      </c>
      <c r="CY17" s="111">
        <v>0.78996437172176004</v>
      </c>
      <c r="CZ17" s="111">
        <v>0.59889963341280195</v>
      </c>
      <c r="DA17" s="111">
        <v>0.58429084690578303</v>
      </c>
      <c r="DB17" s="111">
        <v>0.54904939014696996</v>
      </c>
      <c r="DC17" s="111">
        <v>0.53832857543895596</v>
      </c>
      <c r="DD17" s="111">
        <v>0.52252660963022501</v>
      </c>
      <c r="DE17" s="111">
        <v>0.29184867036957501</v>
      </c>
      <c r="DF17" s="111">
        <v>0.26465811912604398</v>
      </c>
      <c r="DG17" s="111">
        <v>0.23683378439319799</v>
      </c>
    </row>
    <row r="18" spans="1:111" s="30" customFormat="1" x14ac:dyDescent="0.3">
      <c r="A18" s="50" t="s">
        <v>11</v>
      </c>
      <c r="B18" s="51">
        <f t="shared" ref="B18:I18" si="4">B6+B9+B12+B15</f>
        <v>429175.95256492024</v>
      </c>
      <c r="C18" s="52">
        <f t="shared" si="4"/>
        <v>508984.50931840955</v>
      </c>
      <c r="D18" s="51">
        <f t="shared" si="4"/>
        <v>513469.27593862056</v>
      </c>
      <c r="E18" s="51">
        <f t="shared" si="4"/>
        <v>497061.52208659967</v>
      </c>
      <c r="F18" s="51">
        <f t="shared" si="4"/>
        <v>512169.67038388964</v>
      </c>
      <c r="G18" s="51">
        <f t="shared" si="4"/>
        <v>521942.36682392046</v>
      </c>
      <c r="H18" s="51">
        <f t="shared" si="4"/>
        <v>531516.22826867923</v>
      </c>
      <c r="I18" s="51">
        <f t="shared" si="4"/>
        <v>540474.94356614037</v>
      </c>
      <c r="J18" s="53">
        <v>548499.93054611015</v>
      </c>
      <c r="K18" s="53">
        <v>553123.07058144</v>
      </c>
      <c r="L18" s="53">
        <v>556594.38940309</v>
      </c>
      <c r="M18" s="51">
        <v>575735.91595926997</v>
      </c>
      <c r="N18" s="53">
        <v>583760.66900329001</v>
      </c>
      <c r="O18" s="53">
        <v>587955.05070531997</v>
      </c>
      <c r="P18" s="53">
        <v>591433.87289133004</v>
      </c>
      <c r="Q18" s="53">
        <v>596754.60371410998</v>
      </c>
      <c r="R18" s="53">
        <v>601917.00038569001</v>
      </c>
      <c r="S18" s="53">
        <v>602686.75269666</v>
      </c>
      <c r="T18" s="53">
        <v>610986.95767471998</v>
      </c>
      <c r="U18" s="53">
        <v>625402.09241455002</v>
      </c>
      <c r="V18" s="53">
        <v>635100.60417558998</v>
      </c>
      <c r="W18" s="53">
        <v>637900.51081954001</v>
      </c>
      <c r="X18" s="53">
        <v>645627.03020877996</v>
      </c>
      <c r="Y18" s="53">
        <v>638740.95621144003</v>
      </c>
      <c r="Z18" s="53">
        <v>626712.64816589002</v>
      </c>
      <c r="AA18" s="53">
        <v>630374.84814212995</v>
      </c>
      <c r="AB18" s="53">
        <v>637173.44804331998</v>
      </c>
      <c r="AC18" s="53">
        <v>643180.72633188998</v>
      </c>
      <c r="AD18" s="53">
        <v>627255.76601157</v>
      </c>
      <c r="AE18" s="53">
        <v>635190.11639444996</v>
      </c>
      <c r="AF18" s="53">
        <v>639969.18114701996</v>
      </c>
      <c r="AG18" s="53">
        <v>648079.93225683004</v>
      </c>
      <c r="AH18" s="53">
        <v>649358.11783651996</v>
      </c>
      <c r="AI18" s="53">
        <v>651789.85826314997</v>
      </c>
      <c r="AJ18" s="53">
        <v>655448.03831684997</v>
      </c>
      <c r="AK18" s="53">
        <v>643994.51762450999</v>
      </c>
      <c r="AL18" s="53">
        <v>631784.62649317004</v>
      </c>
      <c r="AM18" s="53">
        <v>635377.62247945997</v>
      </c>
      <c r="AN18" s="53">
        <v>654845.79728776996</v>
      </c>
      <c r="AO18" s="53">
        <v>641227.48152787006</v>
      </c>
      <c r="AP18" s="53">
        <v>635951.13184269995</v>
      </c>
      <c r="AQ18" s="53">
        <v>638587.86236101994</v>
      </c>
      <c r="AR18" s="53">
        <v>643571.54319016996</v>
      </c>
      <c r="AS18" s="53">
        <v>644441.86956530996</v>
      </c>
      <c r="AT18" s="53">
        <v>648291.88427436003</v>
      </c>
      <c r="AU18" s="53">
        <v>638016.41752791998</v>
      </c>
      <c r="AV18" s="53">
        <v>645062.39184695005</v>
      </c>
      <c r="AW18" s="53">
        <v>642236.17473513004</v>
      </c>
      <c r="AX18" s="53">
        <v>647466.11777735001</v>
      </c>
      <c r="AY18" s="53">
        <v>652361.50765155</v>
      </c>
      <c r="AZ18" s="53">
        <v>660164.13670572999</v>
      </c>
      <c r="BA18" s="53">
        <v>672839.12012544996</v>
      </c>
      <c r="BB18" s="53">
        <v>692044.43527411995</v>
      </c>
      <c r="BC18" s="53">
        <v>714630.40554615005</v>
      </c>
      <c r="BD18" s="53">
        <v>725576.26109069004</v>
      </c>
      <c r="BE18" s="53">
        <v>748959.85417435004</v>
      </c>
      <c r="BF18" s="53">
        <v>763536.26137166005</v>
      </c>
      <c r="BG18" s="53">
        <v>773592.21759866003</v>
      </c>
      <c r="BH18" s="53">
        <v>794350.20327623002</v>
      </c>
      <c r="BI18" s="53">
        <v>787667.35673765</v>
      </c>
      <c r="BJ18" s="53">
        <v>799365.57933003001</v>
      </c>
      <c r="BK18" s="53">
        <v>816471.0225741606</v>
      </c>
      <c r="BL18" s="53">
        <v>812120.71495046001</v>
      </c>
      <c r="BM18" s="53">
        <v>820231.04506844003</v>
      </c>
      <c r="BN18" s="53">
        <v>834482.75398448994</v>
      </c>
      <c r="BO18" s="53">
        <v>826547.73831235</v>
      </c>
      <c r="BP18" s="53">
        <v>819833.61626639997</v>
      </c>
      <c r="BQ18" s="53">
        <v>816168.07940984995</v>
      </c>
      <c r="BR18" s="53">
        <v>807782.68391621998</v>
      </c>
      <c r="BS18" s="53">
        <v>798204.83521627996</v>
      </c>
      <c r="BT18" s="53">
        <v>791833.13983712997</v>
      </c>
      <c r="BU18" s="53">
        <v>774349.62348956999</v>
      </c>
      <c r="BV18" s="53">
        <v>770635.65640583995</v>
      </c>
      <c r="BW18" s="53">
        <v>764640.24319144001</v>
      </c>
      <c r="BX18" s="53">
        <v>756317.48526168999</v>
      </c>
      <c r="BY18" s="53">
        <v>749111.00945590995</v>
      </c>
      <c r="BZ18" s="53">
        <v>746052.95398414996</v>
      </c>
      <c r="CA18" s="53">
        <v>748448.65277709998</v>
      </c>
      <c r="CB18" s="53">
        <v>751445.13495510002</v>
      </c>
      <c r="CC18" s="53">
        <v>760188.40443708003</v>
      </c>
      <c r="CD18" s="53">
        <v>768904.99912488996</v>
      </c>
      <c r="CE18" s="53">
        <v>772103.64216945996</v>
      </c>
      <c r="CF18" s="53">
        <v>785501.42584325001</v>
      </c>
      <c r="CG18" s="53">
        <v>782580.64982034999</v>
      </c>
      <c r="CH18" s="53">
        <v>785047.82891349006</v>
      </c>
      <c r="CI18" s="53">
        <v>788648.96776727994</v>
      </c>
      <c r="CJ18" s="53">
        <v>802790.20743154001</v>
      </c>
      <c r="CK18" s="53">
        <v>812876.32760901004</v>
      </c>
      <c r="CL18" s="53">
        <v>825167.54897023004</v>
      </c>
      <c r="CM18" s="53">
        <v>845511.01334623003</v>
      </c>
      <c r="CN18" s="50">
        <v>859767.21584715997</v>
      </c>
      <c r="CO18" s="50">
        <v>871605.03883539001</v>
      </c>
      <c r="CP18" s="50">
        <v>885885.33638275997</v>
      </c>
      <c r="CQ18" s="50">
        <v>889764.30539916002</v>
      </c>
      <c r="CR18" s="50">
        <v>903942.84728770005</v>
      </c>
      <c r="CS18" s="50">
        <v>885220.39770126995</v>
      </c>
      <c r="CT18" s="50">
        <v>894366.87829304999</v>
      </c>
      <c r="CU18" s="50">
        <v>912479.25743236998</v>
      </c>
      <c r="CV18" s="50">
        <v>934010.08605826006</v>
      </c>
      <c r="CW18" s="50">
        <v>947627.22653502994</v>
      </c>
      <c r="CX18" s="50">
        <v>973292.87196258001</v>
      </c>
      <c r="CY18" s="50">
        <v>994056.77609185001</v>
      </c>
      <c r="CZ18" s="50">
        <v>1013377.81214844</v>
      </c>
      <c r="DA18" s="50">
        <v>1041860.51219532</v>
      </c>
      <c r="DB18" s="50">
        <v>1048244.1358578301</v>
      </c>
      <c r="DC18" s="50">
        <v>1066824.21457255</v>
      </c>
      <c r="DD18" s="50">
        <v>1092062.39293448</v>
      </c>
      <c r="DE18" s="50">
        <v>929954.74115079001</v>
      </c>
      <c r="DF18" s="50">
        <v>945794.90273501002</v>
      </c>
      <c r="DG18" s="50">
        <v>961847.84155384998</v>
      </c>
    </row>
    <row r="19" spans="1:111" s="63" customFormat="1" x14ac:dyDescent="0.3">
      <c r="A19" s="57" t="s">
        <v>12</v>
      </c>
      <c r="B19" s="58"/>
      <c r="C19" s="59"/>
      <c r="D19" s="58"/>
      <c r="E19" s="58"/>
      <c r="F19" s="58"/>
      <c r="G19" s="58"/>
      <c r="H19" s="58"/>
      <c r="I19" s="58"/>
      <c r="J19" s="60"/>
      <c r="K19" s="60"/>
      <c r="L19" s="60"/>
      <c r="M19" s="58"/>
      <c r="N19" s="61"/>
      <c r="O19" s="62"/>
      <c r="P19" s="62"/>
      <c r="Q19" s="62"/>
      <c r="R19" s="61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</row>
    <row r="20" spans="1:111" s="63" customFormat="1" x14ac:dyDescent="0.3">
      <c r="A20" s="75" t="s">
        <v>13</v>
      </c>
      <c r="B20" s="65">
        <v>203565.93534199</v>
      </c>
      <c r="C20" s="65">
        <v>285090.53901347989</v>
      </c>
      <c r="D20" s="65">
        <v>286344.04490451002</v>
      </c>
      <c r="E20" s="65">
        <v>286515.87841992994</v>
      </c>
      <c r="F20" s="65">
        <v>285313.40845652012</v>
      </c>
      <c r="G20" s="65">
        <v>295188.08060346008</v>
      </c>
      <c r="H20" s="65">
        <v>301502.13080323028</v>
      </c>
      <c r="I20" s="65">
        <v>305759.0003872501</v>
      </c>
      <c r="J20" s="60">
        <v>307683.24135549</v>
      </c>
      <c r="K20" s="60">
        <v>308983.70662226999</v>
      </c>
      <c r="L20" s="60">
        <v>309631.18158121</v>
      </c>
      <c r="M20" s="65">
        <v>332433.83704595</v>
      </c>
      <c r="N20" s="66">
        <v>337612.16918695002</v>
      </c>
      <c r="O20" s="67">
        <v>340670.05417880003</v>
      </c>
      <c r="P20" s="66">
        <v>339347.95586574997</v>
      </c>
      <c r="Q20" s="66">
        <v>340166.00048483</v>
      </c>
      <c r="R20" s="68">
        <v>341774.79616025003</v>
      </c>
      <c r="S20" s="66">
        <v>343569.78094318003</v>
      </c>
      <c r="T20" s="66">
        <v>347374.60177169001</v>
      </c>
      <c r="U20" s="66">
        <v>351483.62433730997</v>
      </c>
      <c r="V20" s="66">
        <v>355553.46502816002</v>
      </c>
      <c r="W20" s="66">
        <v>359200.39850841998</v>
      </c>
      <c r="X20" s="66">
        <v>363826.27244239999</v>
      </c>
      <c r="Y20" s="66">
        <v>365475.02270879998</v>
      </c>
      <c r="Z20" s="66">
        <v>361108.67665767</v>
      </c>
      <c r="AA20" s="66">
        <v>362723.20731993997</v>
      </c>
      <c r="AB20" s="66">
        <v>362801.70409935998</v>
      </c>
      <c r="AC20" s="66">
        <v>362849.11663104</v>
      </c>
      <c r="AD20" s="66">
        <v>363907.37047694001</v>
      </c>
      <c r="AE20" s="66">
        <v>371588.23917060997</v>
      </c>
      <c r="AF20" s="66">
        <v>374781.42848504003</v>
      </c>
      <c r="AG20" s="66">
        <v>378238.26940274</v>
      </c>
      <c r="AH20" s="66">
        <v>380855.81527795998</v>
      </c>
      <c r="AI20" s="66">
        <v>384364.68067325</v>
      </c>
      <c r="AJ20" s="66">
        <v>384152.24568327999</v>
      </c>
      <c r="AK20" s="66">
        <v>380861.1166146</v>
      </c>
      <c r="AL20" s="66">
        <v>379734.70293660002</v>
      </c>
      <c r="AM20" s="66">
        <v>379179.33394788002</v>
      </c>
      <c r="AN20" s="66">
        <v>381340.65064514999</v>
      </c>
      <c r="AO20" s="66">
        <v>376434.11963189999</v>
      </c>
      <c r="AP20" s="66">
        <v>375112.52173000999</v>
      </c>
      <c r="AQ20" s="66">
        <v>375671.14302729</v>
      </c>
      <c r="AR20" s="66">
        <v>371885.08826276998</v>
      </c>
      <c r="AS20" s="66">
        <v>367040.10162511002</v>
      </c>
      <c r="AT20" s="66">
        <v>367626.24078940001</v>
      </c>
      <c r="AU20" s="66">
        <v>352694.09200936003</v>
      </c>
      <c r="AV20" s="66">
        <v>352334.12081619003</v>
      </c>
      <c r="AW20" s="66">
        <v>348483.44170386001</v>
      </c>
      <c r="AX20" s="66">
        <v>355000.40788203001</v>
      </c>
      <c r="AY20" s="66">
        <v>355028.59149709</v>
      </c>
      <c r="AZ20" s="66">
        <v>356858.67712210002</v>
      </c>
      <c r="BA20" s="66">
        <v>358161.32092398999</v>
      </c>
      <c r="BB20" s="66">
        <v>364235.58565001999</v>
      </c>
      <c r="BC20" s="66">
        <v>373424.22817399999</v>
      </c>
      <c r="BD20" s="66">
        <v>373822.97828164999</v>
      </c>
      <c r="BE20" s="66">
        <v>383225.86599035998</v>
      </c>
      <c r="BF20" s="66">
        <v>384866.88546689</v>
      </c>
      <c r="BG20" s="66">
        <v>386334.63160353003</v>
      </c>
      <c r="BH20" s="66">
        <v>394389.74542061001</v>
      </c>
      <c r="BI20" s="66">
        <v>393535.62941977999</v>
      </c>
      <c r="BJ20" s="66">
        <v>397150.59991845</v>
      </c>
      <c r="BK20" s="66">
        <v>405054.15684105986</v>
      </c>
      <c r="BL20" s="66">
        <v>411706.48843396001</v>
      </c>
      <c r="BM20" s="66">
        <v>426512.07719276001</v>
      </c>
      <c r="BN20" s="66">
        <v>441317.86143294</v>
      </c>
      <c r="BO20" s="66">
        <v>444578.87422586</v>
      </c>
      <c r="BP20" s="66">
        <v>447746.38157581998</v>
      </c>
      <c r="BQ20" s="66">
        <v>448426.10857437999</v>
      </c>
      <c r="BR20" s="66">
        <v>448119.33331503998</v>
      </c>
      <c r="BS20" s="66">
        <v>445322.79477237002</v>
      </c>
      <c r="BT20" s="66">
        <v>445774.95864699001</v>
      </c>
      <c r="BU20" s="66">
        <v>439943.45401049999</v>
      </c>
      <c r="BV20" s="66">
        <v>439205.10401494999</v>
      </c>
      <c r="BW20" s="66">
        <v>435393.57726221002</v>
      </c>
      <c r="BX20" s="66">
        <v>431312.35837680002</v>
      </c>
      <c r="BY20" s="66">
        <v>430778.89955601998</v>
      </c>
      <c r="BZ20" s="66">
        <v>430269.31281827</v>
      </c>
      <c r="CA20" s="66">
        <v>434447.02864666999</v>
      </c>
      <c r="CB20" s="66">
        <v>465911.64101137</v>
      </c>
      <c r="CC20" s="66">
        <v>472236.55968969001</v>
      </c>
      <c r="CD20" s="66">
        <v>478139.30813473999</v>
      </c>
      <c r="CE20" s="66">
        <v>480557.24561957998</v>
      </c>
      <c r="CF20" s="66">
        <v>485810.47445699002</v>
      </c>
      <c r="CG20" s="66">
        <v>484754.92246049002</v>
      </c>
      <c r="CH20" s="66">
        <v>486756.68966779998</v>
      </c>
      <c r="CI20" s="66">
        <v>486588.09760765999</v>
      </c>
      <c r="CJ20" s="66">
        <v>493833.71376553999</v>
      </c>
      <c r="CK20" s="66">
        <v>499308.08472426998</v>
      </c>
      <c r="CL20" s="66">
        <v>503794.19228844001</v>
      </c>
      <c r="CM20" s="66">
        <v>511325.56193067</v>
      </c>
      <c r="CN20" s="57">
        <v>515752.50418388</v>
      </c>
      <c r="CO20" s="57">
        <v>519341.07388124999</v>
      </c>
      <c r="CP20" s="57">
        <v>525259.06621455005</v>
      </c>
      <c r="CQ20" s="57">
        <v>527161.66139052995</v>
      </c>
      <c r="CR20" s="57">
        <v>534116.70983164001</v>
      </c>
      <c r="CS20" s="57">
        <v>521109.74264951999</v>
      </c>
      <c r="CT20" s="57">
        <v>525954.00893172005</v>
      </c>
      <c r="CU20" s="57">
        <v>530711.23974929005</v>
      </c>
      <c r="CV20" s="57">
        <v>538528.78955061</v>
      </c>
      <c r="CW20" s="57">
        <v>544508.66981979006</v>
      </c>
      <c r="CX20" s="57">
        <v>554467.67298179003</v>
      </c>
      <c r="CY20" s="57">
        <v>566594.61792611994</v>
      </c>
      <c r="CZ20" s="57">
        <v>575116.4613191</v>
      </c>
      <c r="DA20" s="57">
        <v>583056.84680653003</v>
      </c>
      <c r="DB20" s="57">
        <v>589666.15606724995</v>
      </c>
      <c r="DC20" s="57">
        <v>594134.22090647998</v>
      </c>
      <c r="DD20" s="57">
        <v>605025.65469662996</v>
      </c>
      <c r="DE20" s="57">
        <v>450888.14377442002</v>
      </c>
      <c r="DF20" s="57">
        <v>455675.76739549002</v>
      </c>
      <c r="DG20" s="57">
        <v>460879.06607701001</v>
      </c>
    </row>
    <row r="21" spans="1:111" s="72" customFormat="1" x14ac:dyDescent="0.3">
      <c r="A21" s="76" t="s">
        <v>14</v>
      </c>
      <c r="B21" s="65">
        <v>186506.93189145005</v>
      </c>
      <c r="C21" s="70">
        <v>189637.45163702994</v>
      </c>
      <c r="D21" s="65">
        <v>190760.21277700001</v>
      </c>
      <c r="E21" s="65">
        <v>191466.13826200998</v>
      </c>
      <c r="F21" s="65">
        <v>191466.13826200998</v>
      </c>
      <c r="G21" s="65">
        <v>193711.89730985995</v>
      </c>
      <c r="H21" s="65">
        <v>194666.92589882002</v>
      </c>
      <c r="I21" s="65">
        <v>196256.97638661001</v>
      </c>
      <c r="J21" s="68">
        <v>197608.77465842001</v>
      </c>
      <c r="K21" s="68">
        <v>198613.44955147</v>
      </c>
      <c r="L21" s="68">
        <v>199901.4402438</v>
      </c>
      <c r="M21" s="65">
        <v>220793.90986757001</v>
      </c>
      <c r="N21" s="68">
        <v>223331.71149054999</v>
      </c>
      <c r="O21" s="67">
        <v>224604.74220015001</v>
      </c>
      <c r="P21" s="67">
        <v>220636.19360696001</v>
      </c>
      <c r="Q21" s="67">
        <v>222010.27876456999</v>
      </c>
      <c r="R21" s="67">
        <v>224303.21083348</v>
      </c>
      <c r="S21" s="67">
        <v>225103.91555929001</v>
      </c>
      <c r="T21" s="67">
        <v>226890.04358525001</v>
      </c>
      <c r="U21" s="67">
        <v>229485.82053868999</v>
      </c>
      <c r="V21" s="67">
        <v>230905.78772197</v>
      </c>
      <c r="W21" s="67">
        <v>233169.44100932</v>
      </c>
      <c r="X21" s="67">
        <v>234648.06593563</v>
      </c>
      <c r="Y21" s="67">
        <v>234577.98918269001</v>
      </c>
      <c r="Z21" s="67">
        <v>236499.31459163001</v>
      </c>
      <c r="AA21" s="67">
        <v>237270.42658785</v>
      </c>
      <c r="AB21" s="67">
        <v>239077.77412203999</v>
      </c>
      <c r="AC21" s="67">
        <v>239818.83836977999</v>
      </c>
      <c r="AD21" s="67">
        <v>240663.76503261999</v>
      </c>
      <c r="AE21" s="67">
        <v>241111.32163471999</v>
      </c>
      <c r="AF21" s="67">
        <v>242035.34338666001</v>
      </c>
      <c r="AG21" s="67">
        <v>243539.89029449999</v>
      </c>
      <c r="AH21" s="67">
        <v>244096.23629850001</v>
      </c>
      <c r="AI21" s="67">
        <v>245040.69171737999</v>
      </c>
      <c r="AJ21" s="67">
        <v>245593.64081329</v>
      </c>
      <c r="AK21" s="67">
        <v>245508.08992833999</v>
      </c>
      <c r="AL21" s="67">
        <v>246039.70244818</v>
      </c>
      <c r="AM21" s="67">
        <v>246539.66177658</v>
      </c>
      <c r="AN21" s="67">
        <v>247319.14860543</v>
      </c>
      <c r="AO21" s="67">
        <v>244389.70034114001</v>
      </c>
      <c r="AP21" s="67">
        <v>244177.51349935</v>
      </c>
      <c r="AQ21" s="67">
        <v>244334.52776110001</v>
      </c>
      <c r="AR21" s="67">
        <v>243694.85594390999</v>
      </c>
      <c r="AS21" s="67">
        <v>244643.90066402999</v>
      </c>
      <c r="AT21" s="67">
        <v>240403.01177772001</v>
      </c>
      <c r="AU21" s="67">
        <v>222758.87024071999</v>
      </c>
      <c r="AV21" s="67">
        <v>223072.05173236999</v>
      </c>
      <c r="AW21" s="67">
        <v>215541.84712935</v>
      </c>
      <c r="AX21" s="67">
        <v>216097.95850171</v>
      </c>
      <c r="AY21" s="67">
        <v>216460.21218387</v>
      </c>
      <c r="AZ21" s="67">
        <v>216674.10336047999</v>
      </c>
      <c r="BA21" s="67">
        <v>217694.21169366999</v>
      </c>
      <c r="BB21" s="67">
        <v>219662.86461051001</v>
      </c>
      <c r="BC21" s="67">
        <v>221178.04397262001</v>
      </c>
      <c r="BD21" s="67">
        <v>221346.71643363</v>
      </c>
      <c r="BE21" s="67">
        <v>223416.32593409001</v>
      </c>
      <c r="BF21" s="67">
        <v>222595.10654275</v>
      </c>
      <c r="BG21" s="67">
        <v>222871.09356184001</v>
      </c>
      <c r="BH21" s="67">
        <v>225202.53025156001</v>
      </c>
      <c r="BI21" s="67">
        <v>225589.24201074001</v>
      </c>
      <c r="BJ21" s="67">
        <v>229092.93226795999</v>
      </c>
      <c r="BK21" s="67">
        <v>232513.21782953996</v>
      </c>
      <c r="BL21" s="67">
        <v>232080.86096229</v>
      </c>
      <c r="BM21" s="67">
        <v>236458.69312414</v>
      </c>
      <c r="BN21" s="67">
        <v>239793.55410482999</v>
      </c>
      <c r="BO21" s="67">
        <v>238591.00874076001</v>
      </c>
      <c r="BP21" s="67">
        <v>237378.87769195001</v>
      </c>
      <c r="BQ21" s="67">
        <v>236999.55272390999</v>
      </c>
      <c r="BR21" s="67">
        <v>236721.45781552</v>
      </c>
      <c r="BS21" s="67">
        <v>235389.80593127999</v>
      </c>
      <c r="BT21" s="67">
        <v>236241.23895954</v>
      </c>
      <c r="BU21" s="67">
        <v>235759.39992741001</v>
      </c>
      <c r="BV21" s="67">
        <v>237380.87804325999</v>
      </c>
      <c r="BW21" s="67">
        <v>236422.23895925999</v>
      </c>
      <c r="BX21" s="67">
        <v>236357.59810075999</v>
      </c>
      <c r="BY21" s="67">
        <v>237824.08580728</v>
      </c>
      <c r="BZ21" s="67">
        <v>240971.90048603</v>
      </c>
      <c r="CA21" s="67">
        <v>244850.37228961999</v>
      </c>
      <c r="CB21" s="67">
        <v>249885.30195373</v>
      </c>
      <c r="CC21" s="67">
        <v>254915.81792542999</v>
      </c>
      <c r="CD21" s="67">
        <v>258277.44248242999</v>
      </c>
      <c r="CE21" s="67">
        <v>259932.51432658001</v>
      </c>
      <c r="CF21" s="67">
        <v>263019.28740758001</v>
      </c>
      <c r="CG21" s="67">
        <v>259328.92609736</v>
      </c>
      <c r="CH21" s="67">
        <v>259678.35818817001</v>
      </c>
      <c r="CI21" s="67">
        <v>258654.91443939999</v>
      </c>
      <c r="CJ21" s="67">
        <v>260326.50409596</v>
      </c>
      <c r="CK21" s="67">
        <v>264313.29986864002</v>
      </c>
      <c r="CL21" s="67">
        <v>266900.89471363003</v>
      </c>
      <c r="CM21" s="67">
        <v>269179.67310621002</v>
      </c>
      <c r="CN21" s="66">
        <v>271002.20498411002</v>
      </c>
      <c r="CO21" s="66">
        <v>270975.07448029</v>
      </c>
      <c r="CP21" s="66">
        <v>271893.09403202002</v>
      </c>
      <c r="CQ21" s="66">
        <v>273227.90692261001</v>
      </c>
      <c r="CR21" s="66">
        <v>275040.80550254002</v>
      </c>
      <c r="CS21" s="66">
        <v>265284.99302463001</v>
      </c>
      <c r="CT21" s="66">
        <v>266143.31107201998</v>
      </c>
      <c r="CU21" s="66">
        <v>265938.94615567999</v>
      </c>
      <c r="CV21" s="66">
        <v>269945.88017960999</v>
      </c>
      <c r="CW21" s="66">
        <v>273156.96847463999</v>
      </c>
      <c r="CX21" s="66">
        <v>278083.14017201</v>
      </c>
      <c r="CY21" s="66">
        <v>281259.50102626998</v>
      </c>
      <c r="CZ21" s="66">
        <v>288683.88833808998</v>
      </c>
      <c r="DA21" s="66">
        <v>292311.48668102</v>
      </c>
      <c r="DB21" s="66">
        <v>294437.82108690002</v>
      </c>
      <c r="DC21" s="66">
        <v>296085.78060709999</v>
      </c>
      <c r="DD21" s="66">
        <v>300411.4733906</v>
      </c>
      <c r="DE21" s="66">
        <v>167154.30210743</v>
      </c>
      <c r="DF21" s="66">
        <v>171032.75948462999</v>
      </c>
      <c r="DG21" s="66">
        <v>173260.82028456</v>
      </c>
    </row>
    <row r="22" spans="1:111" s="72" customFormat="1" x14ac:dyDescent="0.3">
      <c r="A22" s="56" t="s">
        <v>15</v>
      </c>
      <c r="B22" s="65">
        <f>B20-B21</f>
        <v>17059.003450539953</v>
      </c>
      <c r="C22" s="70">
        <f t="shared" ref="C22:I22" si="5">C20-C21</f>
        <v>95453.087376449956</v>
      </c>
      <c r="D22" s="65">
        <f t="shared" si="5"/>
        <v>95583.832127510017</v>
      </c>
      <c r="E22" s="65">
        <f t="shared" si="5"/>
        <v>95049.740157919965</v>
      </c>
      <c r="F22" s="65">
        <f t="shared" si="5"/>
        <v>93847.270194510143</v>
      </c>
      <c r="G22" s="65">
        <f t="shared" si="5"/>
        <v>101476.18329360013</v>
      </c>
      <c r="H22" s="65">
        <f t="shared" si="5"/>
        <v>106835.20490441026</v>
      </c>
      <c r="I22" s="65">
        <f t="shared" si="5"/>
        <v>109502.02400064009</v>
      </c>
      <c r="J22" s="68">
        <v>110074.46669706999</v>
      </c>
      <c r="K22" s="68">
        <v>110370.2570708</v>
      </c>
      <c r="L22" s="68">
        <v>109729.74133741</v>
      </c>
      <c r="M22" s="65">
        <v>111639.92717837999</v>
      </c>
      <c r="N22" s="66">
        <v>114280.45769640003</v>
      </c>
      <c r="O22" s="67">
        <v>116065.31197865002</v>
      </c>
      <c r="P22" s="67">
        <v>118711.76225878997</v>
      </c>
      <c r="Q22" s="67">
        <v>118155.72172026001</v>
      </c>
      <c r="R22" s="67">
        <v>117471.58532677003</v>
      </c>
      <c r="S22" s="67">
        <v>118465.86538389002</v>
      </c>
      <c r="T22" s="67">
        <v>120484.55818644</v>
      </c>
      <c r="U22" s="67">
        <v>121997.80379861998</v>
      </c>
      <c r="V22" s="67">
        <v>124647.67730619002</v>
      </c>
      <c r="W22" s="67">
        <v>126030.95749909998</v>
      </c>
      <c r="X22" s="67">
        <v>129178.20650676999</v>
      </c>
      <c r="Y22" s="67">
        <v>130897.03352610997</v>
      </c>
      <c r="Z22" s="67">
        <v>124609.36206603999</v>
      </c>
      <c r="AA22" s="67">
        <v>125452.78073208997</v>
      </c>
      <c r="AB22" s="67">
        <v>123723.92997731999</v>
      </c>
      <c r="AC22" s="67">
        <v>123030.27826126001</v>
      </c>
      <c r="AD22" s="67">
        <v>123243.60544432001</v>
      </c>
      <c r="AE22" s="67">
        <v>130476.91753588998</v>
      </c>
      <c r="AF22" s="67">
        <v>132746.08509838002</v>
      </c>
      <c r="AG22" s="67">
        <v>134698.37910824001</v>
      </c>
      <c r="AH22" s="67">
        <v>136759.57897945997</v>
      </c>
      <c r="AI22" s="67">
        <v>139323.98895587001</v>
      </c>
      <c r="AJ22" s="67">
        <v>138558.60486999</v>
      </c>
      <c r="AK22" s="67">
        <v>135353.02668626001</v>
      </c>
      <c r="AL22" s="67">
        <v>133695.00048842002</v>
      </c>
      <c r="AM22" s="67">
        <v>132639.67217130002</v>
      </c>
      <c r="AN22" s="67">
        <v>134021.50203971998</v>
      </c>
      <c r="AO22" s="67">
        <v>132044.41929075998</v>
      </c>
      <c r="AP22" s="67">
        <v>130935.00823065999</v>
      </c>
      <c r="AQ22" s="67">
        <v>131336.61526619</v>
      </c>
      <c r="AR22" s="67">
        <v>128190.23231885998</v>
      </c>
      <c r="AS22" s="67">
        <v>122396.20096108003</v>
      </c>
      <c r="AT22" s="67">
        <v>127223.22901168</v>
      </c>
      <c r="AU22" s="67">
        <v>129935.22176864004</v>
      </c>
      <c r="AV22" s="67">
        <v>129262.06908382004</v>
      </c>
      <c r="AW22" s="67">
        <v>132941.59457451</v>
      </c>
      <c r="AX22" s="67">
        <v>138902.44938032</v>
      </c>
      <c r="AY22" s="67">
        <v>138568.37931322001</v>
      </c>
      <c r="AZ22" s="67">
        <v>140184.57376162003</v>
      </c>
      <c r="BA22" s="67">
        <v>140467.10923032</v>
      </c>
      <c r="BB22" s="67">
        <v>144572.72103950998</v>
      </c>
      <c r="BC22" s="67">
        <v>152246.18420137998</v>
      </c>
      <c r="BD22" s="67">
        <v>152476.26184801999</v>
      </c>
      <c r="BE22" s="67">
        <v>159809.54005626997</v>
      </c>
      <c r="BF22" s="67">
        <v>162271.77892414</v>
      </c>
      <c r="BG22" s="67">
        <v>163463.53804169002</v>
      </c>
      <c r="BH22" s="67">
        <v>169187.21516905</v>
      </c>
      <c r="BI22" s="67">
        <v>167946.38740903998</v>
      </c>
      <c r="BJ22" s="67">
        <v>168057.66765049001</v>
      </c>
      <c r="BK22" s="67">
        <v>172540.93901151989</v>
      </c>
      <c r="BL22" s="67">
        <v>179625.62747167001</v>
      </c>
      <c r="BM22" s="67">
        <v>190053.38406862001</v>
      </c>
      <c r="BN22" s="67">
        <v>201524.30732811001</v>
      </c>
      <c r="BO22" s="67">
        <v>205987.86548509999</v>
      </c>
      <c r="BP22" s="67">
        <v>210367.50388386997</v>
      </c>
      <c r="BQ22" s="67">
        <v>211426.55585047</v>
      </c>
      <c r="BR22" s="67">
        <v>211397.87549951999</v>
      </c>
      <c r="BS22" s="67">
        <v>209932.98884109003</v>
      </c>
      <c r="BT22" s="67">
        <v>209533.71968745001</v>
      </c>
      <c r="BU22" s="67">
        <v>204184.05408308998</v>
      </c>
      <c r="BV22" s="67">
        <v>201824.22597169</v>
      </c>
      <c r="BW22" s="67">
        <v>198971.33830295003</v>
      </c>
      <c r="BX22" s="67">
        <v>194954.76027604003</v>
      </c>
      <c r="BY22" s="67">
        <v>192954.81374873998</v>
      </c>
      <c r="BZ22" s="67">
        <v>189297.41233224</v>
      </c>
      <c r="CA22" s="67">
        <v>189596.65635705</v>
      </c>
      <c r="CB22" s="67">
        <v>216026.33905764</v>
      </c>
      <c r="CC22" s="67">
        <v>217320.74176426002</v>
      </c>
      <c r="CD22" s="67">
        <v>219861.86565230999</v>
      </c>
      <c r="CE22" s="67">
        <v>220624.73129299996</v>
      </c>
      <c r="CF22" s="67">
        <v>222791.18704941001</v>
      </c>
      <c r="CG22" s="67">
        <v>225425.99636313002</v>
      </c>
      <c r="CH22" s="67">
        <v>227078.33147962997</v>
      </c>
      <c r="CI22" s="67">
        <v>227933.18316826</v>
      </c>
      <c r="CJ22" s="67">
        <v>233507.20966957998</v>
      </c>
      <c r="CK22" s="67">
        <v>234994.78485562996</v>
      </c>
      <c r="CL22" s="67">
        <v>236893.29757480999</v>
      </c>
      <c r="CM22" s="67">
        <v>242145.88882445998</v>
      </c>
      <c r="CN22" s="66">
        <v>244750.29919976997</v>
      </c>
      <c r="CO22" s="66">
        <v>248365.99940095999</v>
      </c>
      <c r="CP22" s="66">
        <v>253365.97218253004</v>
      </c>
      <c r="CQ22" s="66">
        <v>253933.75446791993</v>
      </c>
      <c r="CR22" s="66">
        <v>259075.90432909998</v>
      </c>
      <c r="CS22" s="66">
        <v>255824.74962488998</v>
      </c>
      <c r="CT22" s="66">
        <v>259810.69785970007</v>
      </c>
      <c r="CU22" s="66">
        <v>264772.29359361005</v>
      </c>
      <c r="CV22" s="66">
        <v>268582.90937100002</v>
      </c>
      <c r="CW22" s="66">
        <v>271351.70134515007</v>
      </c>
      <c r="CX22" s="66">
        <v>276384.53280978004</v>
      </c>
      <c r="CY22" s="66">
        <v>285335.11689984996</v>
      </c>
      <c r="CZ22" s="66">
        <v>286432.57298101002</v>
      </c>
      <c r="DA22" s="66">
        <v>290745.36012551002</v>
      </c>
      <c r="DB22" s="66">
        <v>295228.33498034993</v>
      </c>
      <c r="DC22" s="66">
        <v>298048.44029937999</v>
      </c>
      <c r="DD22" s="66">
        <v>304614.18130602996</v>
      </c>
      <c r="DE22" s="66">
        <v>283733.84166699002</v>
      </c>
      <c r="DF22" s="66">
        <v>284643.00791086</v>
      </c>
      <c r="DG22" s="66">
        <v>287618.24579245003</v>
      </c>
    </row>
    <row r="23" spans="1:111" s="72" customFormat="1" x14ac:dyDescent="0.3">
      <c r="A23" s="71" t="s">
        <v>16</v>
      </c>
      <c r="B23" s="65">
        <v>142757.12725887002</v>
      </c>
      <c r="C23" s="65">
        <v>146063.29409934997</v>
      </c>
      <c r="D23" s="65">
        <v>147713.05596863999</v>
      </c>
      <c r="E23" s="65">
        <v>147866.55651593994</v>
      </c>
      <c r="F23" s="65">
        <v>145626.82937958985</v>
      </c>
      <c r="G23" s="65">
        <v>147103.59898106017</v>
      </c>
      <c r="H23" s="65">
        <v>149074.65361223998</v>
      </c>
      <c r="I23" s="65">
        <v>152845.44384785011</v>
      </c>
      <c r="J23" s="68">
        <v>157420.68627487996</v>
      </c>
      <c r="K23" s="68">
        <v>160335.28657125001</v>
      </c>
      <c r="L23" s="68">
        <v>162004.17172834999</v>
      </c>
      <c r="M23" s="65">
        <v>158923.16922539999</v>
      </c>
      <c r="N23" s="68">
        <v>161414.68765385001</v>
      </c>
      <c r="O23" s="67">
        <v>160489.10216901</v>
      </c>
      <c r="P23" s="67">
        <v>163214.46550707001</v>
      </c>
      <c r="Q23" s="67">
        <v>165571.73238532999</v>
      </c>
      <c r="R23" s="67">
        <v>167720.18073103999</v>
      </c>
      <c r="S23" s="67">
        <v>168463.02724962999</v>
      </c>
      <c r="T23" s="67">
        <v>172235.52679457999</v>
      </c>
      <c r="U23" s="67">
        <v>180061.32449792</v>
      </c>
      <c r="V23" s="67">
        <v>183189.51091451</v>
      </c>
      <c r="W23" s="67">
        <v>183685.03232617999</v>
      </c>
      <c r="X23" s="67">
        <v>182259.31363200999</v>
      </c>
      <c r="Y23" s="67">
        <v>177045.13142734999</v>
      </c>
      <c r="Z23" s="67">
        <v>169850.72395821</v>
      </c>
      <c r="AA23" s="67">
        <v>171097.46791536</v>
      </c>
      <c r="AB23" s="67">
        <v>176039.30523624999</v>
      </c>
      <c r="AC23" s="67">
        <v>180346.09794156</v>
      </c>
      <c r="AD23" s="67">
        <v>179586.48126338999</v>
      </c>
      <c r="AE23" s="67">
        <v>178290.73956367999</v>
      </c>
      <c r="AF23" s="67">
        <v>177777.90875599001</v>
      </c>
      <c r="AG23" s="67">
        <v>180561.26194386999</v>
      </c>
      <c r="AH23" s="67">
        <v>178396.06114938</v>
      </c>
      <c r="AI23" s="67">
        <v>177074.02505046001</v>
      </c>
      <c r="AJ23" s="67">
        <v>180448.79067635001</v>
      </c>
      <c r="AK23" s="67">
        <v>170772.12878997001</v>
      </c>
      <c r="AL23" s="67">
        <v>161615.69950995001</v>
      </c>
      <c r="AM23" s="67">
        <v>164344.34521254001</v>
      </c>
      <c r="AN23" s="67">
        <v>177184.51025053</v>
      </c>
      <c r="AO23" s="67">
        <v>170286.56993677001</v>
      </c>
      <c r="AP23" s="67">
        <v>165376.57985400999</v>
      </c>
      <c r="AQ23" s="67">
        <v>164014.02427888999</v>
      </c>
      <c r="AR23" s="67">
        <v>169926.73386052999</v>
      </c>
      <c r="AS23" s="67">
        <v>172182.62537373</v>
      </c>
      <c r="AT23" s="67">
        <v>174300.28393645</v>
      </c>
      <c r="AU23" s="67">
        <v>176232.6959281</v>
      </c>
      <c r="AV23" s="67">
        <v>181964.24133938001</v>
      </c>
      <c r="AW23" s="67">
        <v>183540.66034202001</v>
      </c>
      <c r="AX23" s="67">
        <v>179630.78248957</v>
      </c>
      <c r="AY23" s="67">
        <v>180689.10523752001</v>
      </c>
      <c r="AZ23" s="67">
        <v>182732.89529237</v>
      </c>
      <c r="BA23" s="67">
        <v>190366.90503659999</v>
      </c>
      <c r="BB23" s="67">
        <v>197419.76541425</v>
      </c>
      <c r="BC23" s="67">
        <v>206082.50204888001</v>
      </c>
      <c r="BD23" s="67">
        <v>211946.60526948</v>
      </c>
      <c r="BE23" s="67">
        <v>221700.04711352999</v>
      </c>
      <c r="BF23" s="67">
        <v>231988.43021841001</v>
      </c>
      <c r="BG23" s="67">
        <v>236035.58402399</v>
      </c>
      <c r="BH23" s="67">
        <v>244514.12614343999</v>
      </c>
      <c r="BI23" s="67">
        <v>241768.37188096999</v>
      </c>
      <c r="BJ23" s="67">
        <v>245221.26011592001</v>
      </c>
      <c r="BK23" s="67">
        <v>247345.32303737992</v>
      </c>
      <c r="BL23" s="67">
        <v>233365.42219519999</v>
      </c>
      <c r="BM23" s="67">
        <v>229295.55506106</v>
      </c>
      <c r="BN23" s="67">
        <v>227491.73212465001</v>
      </c>
      <c r="BO23" s="67">
        <v>219348.35101673999</v>
      </c>
      <c r="BP23" s="67">
        <v>215841.27064835999</v>
      </c>
      <c r="BQ23" s="67">
        <v>211764.39853151</v>
      </c>
      <c r="BR23" s="67">
        <v>205614.14857948999</v>
      </c>
      <c r="BS23" s="67">
        <v>200992.29101997</v>
      </c>
      <c r="BT23" s="67">
        <v>194974.93161875001</v>
      </c>
      <c r="BU23" s="67">
        <v>188273.22556983001</v>
      </c>
      <c r="BV23" s="67">
        <v>184518.57102616</v>
      </c>
      <c r="BW23" s="67">
        <v>182669.28123058</v>
      </c>
      <c r="BX23" s="67">
        <v>178897.52199451</v>
      </c>
      <c r="BY23" s="67">
        <v>171283.94174519001</v>
      </c>
      <c r="BZ23" s="67">
        <v>167153.50611158999</v>
      </c>
      <c r="CA23" s="67">
        <v>164059.88348994</v>
      </c>
      <c r="CB23" s="67">
        <v>134050.5227195</v>
      </c>
      <c r="CC23" s="67">
        <v>133637.08911202001</v>
      </c>
      <c r="CD23" s="67">
        <v>136164.18387549999</v>
      </c>
      <c r="CE23" s="67">
        <v>135642.68534108001</v>
      </c>
      <c r="CF23" s="67">
        <v>136780.10297998</v>
      </c>
      <c r="CG23" s="67">
        <v>134977.05633594</v>
      </c>
      <c r="CH23" s="67">
        <v>132991.96305296</v>
      </c>
      <c r="CI23" s="67">
        <v>134939.76884974999</v>
      </c>
      <c r="CJ23" s="67">
        <v>136865.84016039001</v>
      </c>
      <c r="CK23" s="67">
        <v>138483.99218237001</v>
      </c>
      <c r="CL23" s="67">
        <v>141066.77343992001</v>
      </c>
      <c r="CM23" s="67">
        <v>146817.30648130999</v>
      </c>
      <c r="CN23" s="66">
        <v>150584.35698636001</v>
      </c>
      <c r="CO23" s="66">
        <v>152293.99152141</v>
      </c>
      <c r="CP23" s="66">
        <v>155193.69910406999</v>
      </c>
      <c r="CQ23" s="66">
        <v>152479.79652973</v>
      </c>
      <c r="CR23" s="66">
        <v>153145.19945518</v>
      </c>
      <c r="CS23" s="66">
        <v>150654.43533325999</v>
      </c>
      <c r="CT23" s="66">
        <v>152125.37186071</v>
      </c>
      <c r="CU23" s="66">
        <v>159354.24110642</v>
      </c>
      <c r="CV23" s="66">
        <v>166593.00704001001</v>
      </c>
      <c r="CW23" s="66">
        <v>169632.19102858999</v>
      </c>
      <c r="CX23" s="66">
        <v>176297.47987087001</v>
      </c>
      <c r="CY23" s="66">
        <v>179570.75443412</v>
      </c>
      <c r="CZ23" s="66">
        <v>183398.62745427</v>
      </c>
      <c r="DA23" s="66">
        <v>195821.75959644001</v>
      </c>
      <c r="DB23" s="66">
        <v>193343.40151133001</v>
      </c>
      <c r="DC23" s="66">
        <v>199052.92415715</v>
      </c>
      <c r="DD23" s="66">
        <v>207292.51397386999</v>
      </c>
      <c r="DE23" s="66">
        <v>206342.93441081999</v>
      </c>
      <c r="DF23" s="66">
        <v>208914.37662438999</v>
      </c>
      <c r="DG23" s="66">
        <v>213481.61795260999</v>
      </c>
    </row>
    <row r="24" spans="1:111" s="63" customFormat="1" x14ac:dyDescent="0.3">
      <c r="A24" s="57" t="s">
        <v>17</v>
      </c>
      <c r="B24" s="65">
        <v>57861.417649869996</v>
      </c>
      <c r="C24" s="65">
        <v>57490.30212465005</v>
      </c>
      <c r="D24" s="65">
        <v>58892.658417299936</v>
      </c>
      <c r="E24" s="65">
        <v>57490.642647499939</v>
      </c>
      <c r="F24" s="65">
        <v>57941.189369350075</v>
      </c>
      <c r="G24" s="65">
        <v>58560.29330043005</v>
      </c>
      <c r="H24" s="65">
        <v>59431.701171930021</v>
      </c>
      <c r="I24" s="65">
        <v>60234.345661820022</v>
      </c>
      <c r="J24" s="60">
        <v>61662.365580149992</v>
      </c>
      <c r="K24" s="60">
        <v>61869.39586479</v>
      </c>
      <c r="L24" s="60">
        <v>62797.249846409999</v>
      </c>
      <c r="M24" s="65">
        <v>64570.397538090001</v>
      </c>
      <c r="N24" s="67">
        <v>64720.010171690003</v>
      </c>
      <c r="O24" s="66">
        <v>66545.502424510007</v>
      </c>
      <c r="P24" s="66">
        <v>68418.885400879997</v>
      </c>
      <c r="Q24" s="66">
        <v>70344.863411500002</v>
      </c>
      <c r="R24" s="66">
        <v>71540.273061979999</v>
      </c>
      <c r="S24" s="66">
        <v>72880.511420270006</v>
      </c>
      <c r="T24" s="66">
        <v>73607.46733662</v>
      </c>
      <c r="U24" s="66">
        <v>76087.77895901</v>
      </c>
      <c r="V24" s="66">
        <v>78588.258874680003</v>
      </c>
      <c r="W24" s="66">
        <v>77249.616703680003</v>
      </c>
      <c r="X24" s="66">
        <v>78799.538354179997</v>
      </c>
      <c r="Y24" s="66">
        <v>78455.338869519997</v>
      </c>
      <c r="Z24" s="66">
        <v>77992.263721769996</v>
      </c>
      <c r="AA24" s="66">
        <v>78793.189078590003</v>
      </c>
      <c r="AB24" s="66">
        <v>80571.454879469995</v>
      </c>
      <c r="AC24" s="66">
        <v>82228.585479100002</v>
      </c>
      <c r="AD24" s="66">
        <v>83761.914271240006</v>
      </c>
      <c r="AE24" s="66">
        <v>85311.137660160006</v>
      </c>
      <c r="AF24" s="66">
        <v>87409.843905989997</v>
      </c>
      <c r="AG24" s="66">
        <v>89280.400910220007</v>
      </c>
      <c r="AH24" s="66">
        <v>90106.241409180002</v>
      </c>
      <c r="AI24" s="66">
        <v>90351.152539439994</v>
      </c>
      <c r="AJ24" s="66">
        <v>90847.001957219996</v>
      </c>
      <c r="AK24" s="66">
        <v>92361.272219940001</v>
      </c>
      <c r="AL24" s="66">
        <v>90434.224046620002</v>
      </c>
      <c r="AM24" s="66">
        <v>91853.943319040001</v>
      </c>
      <c r="AN24" s="66">
        <v>96320.636392090004</v>
      </c>
      <c r="AO24" s="66">
        <v>94506.791959199996</v>
      </c>
      <c r="AP24" s="66">
        <v>95462.030258679995</v>
      </c>
      <c r="AQ24" s="66">
        <v>98902.695054840005</v>
      </c>
      <c r="AR24" s="66">
        <v>101759.72106687</v>
      </c>
      <c r="AS24" s="66">
        <v>104723.05864309</v>
      </c>
      <c r="AT24" s="66">
        <v>106365.35954850999</v>
      </c>
      <c r="AU24" s="66">
        <v>109089.62959046</v>
      </c>
      <c r="AV24" s="66">
        <v>110764.02969138</v>
      </c>
      <c r="AW24" s="66">
        <v>109950.02445765999</v>
      </c>
      <c r="AX24" s="66">
        <v>112834.92740575</v>
      </c>
      <c r="AY24" s="66">
        <v>116643.81091694</v>
      </c>
      <c r="AZ24" s="66">
        <v>120572.56429126</v>
      </c>
      <c r="BA24" s="66">
        <v>124310.89416486</v>
      </c>
      <c r="BB24" s="66">
        <v>130389.08420985</v>
      </c>
      <c r="BC24" s="66">
        <v>135123.67532327</v>
      </c>
      <c r="BD24" s="66">
        <v>139806.67753956001</v>
      </c>
      <c r="BE24" s="66">
        <v>143555.44896129999</v>
      </c>
      <c r="BF24" s="66">
        <v>146680.94568636001</v>
      </c>
      <c r="BG24" s="66">
        <v>151222.00197114001</v>
      </c>
      <c r="BH24" s="66">
        <v>155446.33171217999</v>
      </c>
      <c r="BI24" s="66">
        <v>152363.35543689999</v>
      </c>
      <c r="BJ24" s="66">
        <v>156993.71929566</v>
      </c>
      <c r="BK24" s="66">
        <v>164071.54269572016</v>
      </c>
      <c r="BL24" s="66">
        <v>167048.80432130001</v>
      </c>
      <c r="BM24" s="66">
        <v>164423.41281462001</v>
      </c>
      <c r="BN24" s="66">
        <v>165673.16042689999</v>
      </c>
      <c r="BO24" s="66">
        <v>156257.02977791999</v>
      </c>
      <c r="BP24" s="66">
        <v>156245.96404222</v>
      </c>
      <c r="BQ24" s="66">
        <v>154904.04579767</v>
      </c>
      <c r="BR24" s="66">
        <v>152972.21835663999</v>
      </c>
      <c r="BS24" s="66">
        <v>151889.74942394</v>
      </c>
      <c r="BT24" s="66">
        <v>151083.24957139001</v>
      </c>
      <c r="BU24" s="66">
        <v>146132.94390924001</v>
      </c>
      <c r="BV24" s="66">
        <v>146911.98136472999</v>
      </c>
      <c r="BW24" s="66">
        <v>146577.38469865001</v>
      </c>
      <c r="BX24" s="66">
        <v>146107.60489038</v>
      </c>
      <c r="BY24" s="66">
        <v>147048.16815469999</v>
      </c>
      <c r="BZ24" s="66">
        <v>148630.13505429</v>
      </c>
      <c r="CA24" s="66">
        <v>149941.74064049</v>
      </c>
      <c r="CB24" s="66">
        <v>151482.97122422999</v>
      </c>
      <c r="CC24" s="66">
        <v>154314.75563537001</v>
      </c>
      <c r="CD24" s="66">
        <v>154601.50711465001</v>
      </c>
      <c r="CE24" s="66">
        <v>155903.7112088</v>
      </c>
      <c r="CF24" s="66">
        <v>162910.84840628001</v>
      </c>
      <c r="CG24" s="66">
        <v>162848.67102392</v>
      </c>
      <c r="CH24" s="66">
        <v>165299.17619273</v>
      </c>
      <c r="CI24" s="66">
        <v>167121.10130986999</v>
      </c>
      <c r="CJ24" s="66">
        <v>172090.65350561001</v>
      </c>
      <c r="CK24" s="66">
        <v>175084.25070236999</v>
      </c>
      <c r="CL24" s="66">
        <v>180306.58324186999</v>
      </c>
      <c r="CM24" s="66">
        <v>187368.14493425001</v>
      </c>
      <c r="CN24" s="61">
        <v>193430.35467691999</v>
      </c>
      <c r="CO24" s="61">
        <v>199969.97343273001</v>
      </c>
      <c r="CP24" s="61">
        <v>205432.57106414001</v>
      </c>
      <c r="CQ24" s="61">
        <v>210122.84747889999</v>
      </c>
      <c r="CR24" s="61">
        <v>216680.93800088001</v>
      </c>
      <c r="CS24" s="61">
        <v>213251.49504176</v>
      </c>
      <c r="CT24" s="61">
        <v>216287.49750062</v>
      </c>
      <c r="CU24" s="61">
        <v>222413.77657665999</v>
      </c>
      <c r="CV24" s="61">
        <v>228888.28946763999</v>
      </c>
      <c r="CW24" s="61">
        <v>233486.36568665001</v>
      </c>
      <c r="CX24" s="61">
        <v>242527.71910992</v>
      </c>
      <c r="CY24" s="61">
        <v>247891.40373160999</v>
      </c>
      <c r="CZ24" s="61">
        <v>254862.72337507</v>
      </c>
      <c r="DA24" s="61">
        <v>262981.90579235001</v>
      </c>
      <c r="DB24" s="61">
        <v>265234.57827925001</v>
      </c>
      <c r="DC24" s="61">
        <v>273637.06950892002</v>
      </c>
      <c r="DD24" s="61">
        <v>279599.17134890001</v>
      </c>
      <c r="DE24" s="61">
        <v>272723.66296554997</v>
      </c>
      <c r="DF24" s="61">
        <v>281204.75871512998</v>
      </c>
      <c r="DG24" s="61">
        <v>287443.01280566002</v>
      </c>
    </row>
    <row r="25" spans="1:111" s="72" customFormat="1" x14ac:dyDescent="0.3">
      <c r="A25" s="71" t="s">
        <v>18</v>
      </c>
      <c r="B25" s="68">
        <v>24991.472314190003</v>
      </c>
      <c r="C25" s="68">
        <v>20340.37408093</v>
      </c>
      <c r="D25" s="68">
        <v>20519.516648170007</v>
      </c>
      <c r="E25" s="68">
        <v>5188.4445032300018</v>
      </c>
      <c r="F25" s="68">
        <v>23288.243178429999</v>
      </c>
      <c r="G25" s="68">
        <v>21090.393938969999</v>
      </c>
      <c r="H25" s="68">
        <v>21507.742681280004</v>
      </c>
      <c r="I25" s="68">
        <v>21636.153669219999</v>
      </c>
      <c r="J25" s="68">
        <v>21733.637335590007</v>
      </c>
      <c r="K25" s="68">
        <v>21934.681523129999</v>
      </c>
      <c r="L25" s="68">
        <v>22161.786247119999</v>
      </c>
      <c r="M25" s="68">
        <v>19808.51214983</v>
      </c>
      <c r="N25" s="67">
        <v>20013.801990799999</v>
      </c>
      <c r="O25" s="66">
        <v>20250.391932999999</v>
      </c>
      <c r="P25" s="68">
        <v>20452.566117629998</v>
      </c>
      <c r="Q25" s="68">
        <v>20672.007432449998</v>
      </c>
      <c r="R25" s="68">
        <v>20881.750432420002</v>
      </c>
      <c r="S25" s="68">
        <v>17773.433083579999</v>
      </c>
      <c r="T25" s="68">
        <v>17769.361771830001</v>
      </c>
      <c r="U25" s="68">
        <v>17769.36462031</v>
      </c>
      <c r="V25" s="68">
        <v>17769.369358240001</v>
      </c>
      <c r="W25" s="68">
        <v>17765.463281259999</v>
      </c>
      <c r="X25" s="68">
        <v>20741.905780190002</v>
      </c>
      <c r="Y25" s="68">
        <v>17765.46320577</v>
      </c>
      <c r="Z25" s="68">
        <v>17760.983828240001</v>
      </c>
      <c r="AA25" s="68">
        <v>17760.983828240001</v>
      </c>
      <c r="AB25" s="68">
        <v>17760.983828240001</v>
      </c>
      <c r="AC25" s="68">
        <v>17756.92628019</v>
      </c>
      <c r="AD25" s="68">
        <v>0</v>
      </c>
      <c r="AE25" s="68">
        <v>0</v>
      </c>
      <c r="AF25" s="68">
        <v>0</v>
      </c>
      <c r="AG25" s="68">
        <v>0</v>
      </c>
      <c r="AH25" s="68">
        <v>0</v>
      </c>
      <c r="AI25" s="68">
        <v>0</v>
      </c>
      <c r="AJ25" s="68">
        <v>0</v>
      </c>
      <c r="AK25" s="68">
        <v>0</v>
      </c>
      <c r="AL25" s="68">
        <v>0</v>
      </c>
      <c r="AM25" s="68">
        <v>0</v>
      </c>
      <c r="AN25" s="68">
        <v>0</v>
      </c>
      <c r="AO25" s="68">
        <v>0</v>
      </c>
      <c r="AP25" s="68">
        <v>0</v>
      </c>
      <c r="AQ25" s="68">
        <v>0</v>
      </c>
      <c r="AR25" s="68">
        <v>0</v>
      </c>
      <c r="AS25" s="68">
        <v>496.08392337999999</v>
      </c>
      <c r="AT25" s="68">
        <v>0</v>
      </c>
      <c r="AU25" s="68">
        <v>0</v>
      </c>
      <c r="AV25" s="68">
        <v>0</v>
      </c>
      <c r="AW25" s="68">
        <v>262.04823159</v>
      </c>
      <c r="AX25" s="68">
        <v>0</v>
      </c>
      <c r="AY25" s="68">
        <v>0</v>
      </c>
      <c r="AZ25" s="68">
        <v>0</v>
      </c>
      <c r="BA25" s="68">
        <v>0</v>
      </c>
      <c r="BB25" s="68">
        <v>0</v>
      </c>
      <c r="BC25" s="68">
        <v>0</v>
      </c>
      <c r="BD25" s="68">
        <v>0</v>
      </c>
      <c r="BE25" s="68">
        <v>478.49210915999998</v>
      </c>
      <c r="BF25" s="68">
        <v>0</v>
      </c>
      <c r="BG25" s="68">
        <v>0</v>
      </c>
      <c r="BH25" s="68">
        <v>0</v>
      </c>
      <c r="BI25" s="68">
        <v>0</v>
      </c>
      <c r="BJ25" s="68">
        <v>0</v>
      </c>
      <c r="BK25" s="68">
        <v>0</v>
      </c>
      <c r="BL25" s="68">
        <v>0</v>
      </c>
      <c r="BM25" s="68">
        <v>0</v>
      </c>
      <c r="BN25" s="68">
        <v>0</v>
      </c>
      <c r="BO25" s="68">
        <v>6363.4832918299999</v>
      </c>
      <c r="BP25" s="68">
        <v>0</v>
      </c>
      <c r="BQ25" s="68">
        <v>1073.52650629</v>
      </c>
      <c r="BR25" s="68">
        <v>1076.9836650499999</v>
      </c>
      <c r="BS25" s="68">
        <v>0</v>
      </c>
      <c r="BT25" s="68">
        <v>0</v>
      </c>
      <c r="BU25" s="68">
        <v>0</v>
      </c>
      <c r="BV25" s="68">
        <v>0</v>
      </c>
      <c r="BW25" s="68">
        <v>0</v>
      </c>
      <c r="BX25" s="68">
        <v>0</v>
      </c>
      <c r="BY25" s="68">
        <v>0</v>
      </c>
      <c r="BZ25" s="68">
        <v>0</v>
      </c>
      <c r="CA25" s="68">
        <v>0</v>
      </c>
      <c r="CB25" s="68">
        <v>0</v>
      </c>
      <c r="CC25" s="68">
        <v>0</v>
      </c>
      <c r="CD25" s="68">
        <v>0</v>
      </c>
      <c r="CE25" s="68">
        <v>0</v>
      </c>
      <c r="CF25" s="68">
        <v>0</v>
      </c>
      <c r="CG25" s="68">
        <v>0</v>
      </c>
      <c r="CH25" s="68">
        <v>0</v>
      </c>
      <c r="CI25" s="68">
        <v>0</v>
      </c>
      <c r="CJ25" s="68">
        <v>0</v>
      </c>
      <c r="CK25" s="68">
        <v>0</v>
      </c>
      <c r="CL25" s="68">
        <v>0</v>
      </c>
      <c r="CM25" s="68">
        <v>0</v>
      </c>
      <c r="CN25" s="68">
        <v>0</v>
      </c>
      <c r="CO25" s="68">
        <v>0</v>
      </c>
      <c r="CP25" s="68">
        <v>0</v>
      </c>
      <c r="CQ25" s="68">
        <v>0</v>
      </c>
      <c r="CR25" s="68">
        <v>0</v>
      </c>
      <c r="CS25" s="68">
        <v>204.72467673</v>
      </c>
      <c r="CT25" s="68">
        <v>0</v>
      </c>
      <c r="CU25" s="68">
        <v>0</v>
      </c>
      <c r="CV25" s="68">
        <v>0</v>
      </c>
      <c r="CW25" s="68">
        <v>0</v>
      </c>
      <c r="CX25" s="68">
        <v>0</v>
      </c>
      <c r="CY25" s="68">
        <v>0</v>
      </c>
      <c r="CZ25" s="68">
        <v>0</v>
      </c>
      <c r="DA25" s="68">
        <v>0</v>
      </c>
      <c r="DB25" s="68">
        <v>0</v>
      </c>
      <c r="DC25" s="68">
        <v>0</v>
      </c>
      <c r="DD25" s="68">
        <v>145.05291507999999</v>
      </c>
      <c r="DE25" s="68">
        <v>0</v>
      </c>
      <c r="DF25" s="68">
        <v>0</v>
      </c>
      <c r="DG25" s="68">
        <v>44.144718570000002</v>
      </c>
    </row>
    <row r="26" spans="1:111" s="55" customFormat="1" x14ac:dyDescent="0.3">
      <c r="A26" s="77" t="s">
        <v>19</v>
      </c>
      <c r="B26" s="78">
        <f>B7+B10+B13+B16</f>
        <v>202882.29088006998</v>
      </c>
      <c r="C26" s="79">
        <f t="shared" ref="C26:I26" si="6">C7+C10+C13+C16</f>
        <v>241409.43365811996</v>
      </c>
      <c r="D26" s="78">
        <f t="shared" si="6"/>
        <v>240862.18211123993</v>
      </c>
      <c r="E26" s="78">
        <f t="shared" si="6"/>
        <v>245392.03174079006</v>
      </c>
      <c r="F26" s="78">
        <f t="shared" si="6"/>
        <v>251730.99770418994</v>
      </c>
      <c r="G26" s="78">
        <f t="shared" si="6"/>
        <v>269814.42686713999</v>
      </c>
      <c r="H26" s="78">
        <f t="shared" si="6"/>
        <v>274870.63936443988</v>
      </c>
      <c r="I26" s="78">
        <f t="shared" si="6"/>
        <v>274933.26608001994</v>
      </c>
      <c r="J26" s="53">
        <v>277304.7053884099</v>
      </c>
      <c r="K26" s="53">
        <v>278054.40748262999</v>
      </c>
      <c r="L26" s="53">
        <v>276492.72482449998</v>
      </c>
      <c r="M26" s="78">
        <v>293985.02023338003</v>
      </c>
      <c r="N26" s="80">
        <v>303068.29796939</v>
      </c>
      <c r="O26" s="80">
        <v>304793.61872453999</v>
      </c>
      <c r="P26" s="80">
        <v>305477.43586054002</v>
      </c>
      <c r="Q26" s="81">
        <v>307559.69429489999</v>
      </c>
      <c r="R26" s="81">
        <v>308485.98478468001</v>
      </c>
      <c r="S26" s="81">
        <v>307671.96675592999</v>
      </c>
      <c r="T26" s="81">
        <v>305347.47657483001</v>
      </c>
      <c r="U26" s="81">
        <v>306691.49650973</v>
      </c>
      <c r="V26" s="81">
        <v>307129.45336002001</v>
      </c>
      <c r="W26" s="81">
        <v>315334.33359181002</v>
      </c>
      <c r="X26" s="81">
        <v>307186.19922762999</v>
      </c>
      <c r="Y26" s="81">
        <v>304039.14253625</v>
      </c>
      <c r="Z26" s="81">
        <v>299551.30603218998</v>
      </c>
      <c r="AA26" s="81">
        <v>296479.51869156002</v>
      </c>
      <c r="AB26" s="81">
        <v>296903.74549149</v>
      </c>
      <c r="AC26" s="81">
        <v>296919.55986128998</v>
      </c>
      <c r="AD26" s="81">
        <v>287755.27698369999</v>
      </c>
      <c r="AE26" s="81">
        <v>289770.09536713001</v>
      </c>
      <c r="AF26" s="81">
        <v>290873.67624805</v>
      </c>
      <c r="AG26" s="81">
        <v>286276.90203156002</v>
      </c>
      <c r="AH26" s="81">
        <v>286997.92440438003</v>
      </c>
      <c r="AI26" s="81">
        <v>288923.74127220002</v>
      </c>
      <c r="AJ26" s="81">
        <v>289996.61323464999</v>
      </c>
      <c r="AK26" s="81">
        <v>283665.74675075</v>
      </c>
      <c r="AL26" s="81">
        <v>284078.14204273</v>
      </c>
      <c r="AM26" s="81">
        <v>283342.46745727002</v>
      </c>
      <c r="AN26" s="81">
        <v>282616.75495004002</v>
      </c>
      <c r="AO26" s="81">
        <v>281241.90920025</v>
      </c>
      <c r="AP26" s="81">
        <v>279677.59159566998</v>
      </c>
      <c r="AQ26" s="81">
        <v>280060.26708502998</v>
      </c>
      <c r="AR26" s="81">
        <v>281274.89934857999</v>
      </c>
      <c r="AS26" s="81">
        <v>282148.70131754002</v>
      </c>
      <c r="AT26" s="81">
        <v>276163.13910857</v>
      </c>
      <c r="AU26" s="81">
        <v>258311.09039693</v>
      </c>
      <c r="AV26" s="81">
        <v>260041.16565782001</v>
      </c>
      <c r="AW26" s="81">
        <v>250863.44981059001</v>
      </c>
      <c r="AX26" s="81">
        <v>252110.82603865999</v>
      </c>
      <c r="AY26" s="81">
        <v>251169.11393912</v>
      </c>
      <c r="AZ26" s="81">
        <v>248210.63627793</v>
      </c>
      <c r="BA26" s="81">
        <v>248402.38604345001</v>
      </c>
      <c r="BB26" s="81">
        <v>244427.87902234</v>
      </c>
      <c r="BC26" s="81">
        <v>248852.87401239001</v>
      </c>
      <c r="BD26" s="81">
        <v>247126.14275483001</v>
      </c>
      <c r="BE26" s="81">
        <v>247269.48347805999</v>
      </c>
      <c r="BF26" s="81">
        <v>244762.57805305999</v>
      </c>
      <c r="BG26" s="81">
        <v>244516.90823646999</v>
      </c>
      <c r="BH26" s="81">
        <v>244287.54182755001</v>
      </c>
      <c r="BI26" s="81">
        <v>236256.63658033</v>
      </c>
      <c r="BJ26" s="81">
        <v>237197.71274305001</v>
      </c>
      <c r="BK26" s="81">
        <v>232574.93972847005</v>
      </c>
      <c r="BL26" s="81">
        <v>234093.56976993999</v>
      </c>
      <c r="BM26" s="81">
        <v>235239.60334607001</v>
      </c>
      <c r="BN26" s="81">
        <v>239940.38059183999</v>
      </c>
      <c r="BO26" s="81">
        <v>256921.51212480999</v>
      </c>
      <c r="BP26" s="81">
        <v>260894.65850182</v>
      </c>
      <c r="BQ26" s="81">
        <v>263980.00414035999</v>
      </c>
      <c r="BR26" s="81">
        <v>288110.60244451999</v>
      </c>
      <c r="BS26" s="81">
        <v>295231.65156043001</v>
      </c>
      <c r="BT26" s="81">
        <v>303149.35547824</v>
      </c>
      <c r="BU26" s="81">
        <v>309057.41129939002</v>
      </c>
      <c r="BV26" s="81">
        <v>314276.65043352998</v>
      </c>
      <c r="BW26" s="81">
        <v>312893.25186774001</v>
      </c>
      <c r="BX26" s="81">
        <v>310327.42908963002</v>
      </c>
      <c r="BY26" s="81">
        <v>309150.90298173</v>
      </c>
      <c r="BZ26" s="81">
        <v>307353.63096161</v>
      </c>
      <c r="CA26" s="81">
        <v>304536.69392903999</v>
      </c>
      <c r="CB26" s="81">
        <v>306931.10606213001</v>
      </c>
      <c r="CC26" s="81">
        <v>301934.29795312998</v>
      </c>
      <c r="CD26" s="81">
        <v>298584.73145169002</v>
      </c>
      <c r="CE26" s="81">
        <v>301066.99629263999</v>
      </c>
      <c r="CF26" s="81">
        <v>300659.12212313002</v>
      </c>
      <c r="CG26" s="81">
        <v>295348.73061582999</v>
      </c>
      <c r="CH26" s="81">
        <v>294847.49418879999</v>
      </c>
      <c r="CI26" s="81">
        <v>293660.59624886001</v>
      </c>
      <c r="CJ26" s="81">
        <v>291676.41904414998</v>
      </c>
      <c r="CK26" s="81">
        <v>291168.12022560998</v>
      </c>
      <c r="CL26" s="81">
        <v>289985.46525514999</v>
      </c>
      <c r="CM26" s="81">
        <v>288175.37892404001</v>
      </c>
      <c r="CN26" s="81">
        <v>286861.78455278999</v>
      </c>
      <c r="CO26" s="81">
        <v>285008.62301422999</v>
      </c>
      <c r="CP26" s="81">
        <v>284228.06068711</v>
      </c>
      <c r="CQ26" s="81">
        <v>284050.43667980999</v>
      </c>
      <c r="CR26" s="81">
        <v>283164.45322089002</v>
      </c>
      <c r="CS26" s="81">
        <v>266159.76832242002</v>
      </c>
      <c r="CT26" s="81">
        <v>270688.59731867001</v>
      </c>
      <c r="CU26" s="81">
        <v>269112.1158727</v>
      </c>
      <c r="CV26" s="81">
        <v>263506.99317685002</v>
      </c>
      <c r="CW26" s="81">
        <v>264023.22698079998</v>
      </c>
      <c r="CX26" s="81">
        <v>264214.85396769998</v>
      </c>
      <c r="CY26" s="81">
        <v>265190.57468388998</v>
      </c>
      <c r="CZ26" s="81">
        <v>258756.64102576001</v>
      </c>
      <c r="DA26" s="81">
        <v>257728.70466816</v>
      </c>
      <c r="DB26" s="81">
        <v>255355.72781026</v>
      </c>
      <c r="DC26" s="81">
        <v>253799.33582032</v>
      </c>
      <c r="DD26" s="81">
        <v>254375.86105596999</v>
      </c>
      <c r="DE26" s="81">
        <v>94259.610376690005</v>
      </c>
      <c r="DF26" s="81">
        <v>95220.140344400003</v>
      </c>
      <c r="DG26" s="81">
        <v>94461.044027890006</v>
      </c>
    </row>
    <row r="27" spans="1:111" s="63" customFormat="1" x14ac:dyDescent="0.3">
      <c r="A27" s="57" t="s">
        <v>12</v>
      </c>
      <c r="B27" s="58"/>
      <c r="C27" s="59"/>
      <c r="D27" s="58"/>
      <c r="E27" s="58"/>
      <c r="F27" s="58"/>
      <c r="G27" s="58"/>
      <c r="H27" s="58"/>
      <c r="I27" s="58"/>
      <c r="J27" s="60"/>
      <c r="K27" s="60"/>
      <c r="L27" s="60"/>
      <c r="M27" s="58"/>
      <c r="N27" s="60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</row>
    <row r="28" spans="1:111" s="63" customFormat="1" x14ac:dyDescent="0.3">
      <c r="A28" s="57" t="s">
        <v>13</v>
      </c>
      <c r="B28" s="58">
        <v>154011.66963678997</v>
      </c>
      <c r="C28" s="58">
        <v>191490.56492552999</v>
      </c>
      <c r="D28" s="58">
        <v>191265.68395452999</v>
      </c>
      <c r="E28" s="58">
        <v>198752.72037596998</v>
      </c>
      <c r="F28" s="58">
        <v>199137.56153733996</v>
      </c>
      <c r="G28" s="58">
        <v>213255.15415458995</v>
      </c>
      <c r="H28" s="58">
        <v>217912.45342979999</v>
      </c>
      <c r="I28" s="58">
        <v>217612.1860022</v>
      </c>
      <c r="J28" s="61">
        <v>218192.81208902999</v>
      </c>
      <c r="K28" s="62">
        <v>219430.48977961999</v>
      </c>
      <c r="L28" s="62">
        <v>219275.8317789</v>
      </c>
      <c r="M28" s="58">
        <v>239913.66952187999</v>
      </c>
      <c r="N28" s="61">
        <v>244464.90579254</v>
      </c>
      <c r="O28" s="62">
        <v>246066.26699214999</v>
      </c>
      <c r="P28" s="60">
        <v>245017.82987759</v>
      </c>
      <c r="Q28" s="60">
        <v>246354.48864914</v>
      </c>
      <c r="R28" s="60">
        <v>247201.47713387999</v>
      </c>
      <c r="S28" s="60">
        <v>246939.05739402</v>
      </c>
      <c r="T28" s="60">
        <v>248009.96590353001</v>
      </c>
      <c r="U28" s="60">
        <v>248868.14815416001</v>
      </c>
      <c r="V28" s="60">
        <v>249353.59291241001</v>
      </c>
      <c r="W28" s="60">
        <v>249368.88334639001</v>
      </c>
      <c r="X28" s="60">
        <v>250050.77822313001</v>
      </c>
      <c r="Y28" s="60">
        <v>251533.71501282</v>
      </c>
      <c r="Z28" s="60">
        <v>247579.27785496</v>
      </c>
      <c r="AA28" s="60">
        <v>245568.32832161</v>
      </c>
      <c r="AB28" s="60">
        <v>245856.70646319</v>
      </c>
      <c r="AC28" s="60">
        <v>246535.60811166</v>
      </c>
      <c r="AD28" s="60">
        <v>245285.34863753</v>
      </c>
      <c r="AE28" s="60">
        <v>247435.65245967</v>
      </c>
      <c r="AF28" s="60">
        <v>248832.16060228</v>
      </c>
      <c r="AG28" s="60">
        <v>245249.42074279999</v>
      </c>
      <c r="AH28" s="60">
        <v>245122.06432333001</v>
      </c>
      <c r="AI28" s="60">
        <v>248081.87096480001</v>
      </c>
      <c r="AJ28" s="60">
        <v>248000.61951624</v>
      </c>
      <c r="AK28" s="60">
        <v>245844.57551858001</v>
      </c>
      <c r="AL28" s="60">
        <v>246269.64466779999</v>
      </c>
      <c r="AM28" s="60">
        <v>246282.78755601999</v>
      </c>
      <c r="AN28" s="60">
        <v>246299.70416801001</v>
      </c>
      <c r="AO28" s="60">
        <v>245004.18942923</v>
      </c>
      <c r="AP28" s="60">
        <v>242830.57243346999</v>
      </c>
      <c r="AQ28" s="60">
        <v>242536.68986757999</v>
      </c>
      <c r="AR28" s="60">
        <v>242947.54773635001</v>
      </c>
      <c r="AS28" s="60">
        <v>243294.83531868999</v>
      </c>
      <c r="AT28" s="60">
        <v>241222.53488871001</v>
      </c>
      <c r="AU28" s="60">
        <v>224059.30145371999</v>
      </c>
      <c r="AV28" s="60">
        <v>225500.47431280001</v>
      </c>
      <c r="AW28" s="60">
        <v>219824.37639013</v>
      </c>
      <c r="AX28" s="60">
        <v>220661.90841067999</v>
      </c>
      <c r="AY28" s="60">
        <v>220434.60807424001</v>
      </c>
      <c r="AZ28" s="60">
        <v>218180.11781269999</v>
      </c>
      <c r="BA28" s="60">
        <v>217527.65360131999</v>
      </c>
      <c r="BB28" s="60">
        <v>214297.05179286</v>
      </c>
      <c r="BC28" s="60">
        <v>219094.12767990999</v>
      </c>
      <c r="BD28" s="60">
        <v>217301.22143804</v>
      </c>
      <c r="BE28" s="60">
        <v>217001.49434770001</v>
      </c>
      <c r="BF28" s="60">
        <v>215619.01945947</v>
      </c>
      <c r="BG28" s="60">
        <v>215674.63820352001</v>
      </c>
      <c r="BH28" s="60">
        <v>216231.83750458001</v>
      </c>
      <c r="BI28" s="60">
        <v>208692.20380463</v>
      </c>
      <c r="BJ28" s="60">
        <v>208954.28166461</v>
      </c>
      <c r="BK28" s="60">
        <v>208976.01455119989</v>
      </c>
      <c r="BL28" s="60">
        <v>209847.84270815001</v>
      </c>
      <c r="BM28" s="60">
        <v>209901.80096959</v>
      </c>
      <c r="BN28" s="60">
        <v>212693.98516593999</v>
      </c>
      <c r="BO28" s="60">
        <v>223206.77876854001</v>
      </c>
      <c r="BP28" s="60">
        <v>224971.95965018999</v>
      </c>
      <c r="BQ28" s="60">
        <v>225292.13522855</v>
      </c>
      <c r="BR28" s="60">
        <v>234841.41563525001</v>
      </c>
      <c r="BS28" s="60">
        <v>236121.12260487999</v>
      </c>
      <c r="BT28" s="60">
        <v>239824.92000022001</v>
      </c>
      <c r="BU28" s="60">
        <v>241369.04538267001</v>
      </c>
      <c r="BV28" s="60">
        <v>242056.55082104</v>
      </c>
      <c r="BW28" s="60">
        <v>241637.35481478</v>
      </c>
      <c r="BX28" s="60">
        <v>240236.70387120001</v>
      </c>
      <c r="BY28" s="60">
        <v>240266.59015112999</v>
      </c>
      <c r="BZ28" s="60">
        <v>238942.55296315</v>
      </c>
      <c r="CA28" s="60">
        <v>238756.30455181</v>
      </c>
      <c r="CB28" s="60">
        <v>251117.35491538001</v>
      </c>
      <c r="CC28" s="60">
        <v>247881.89106513999</v>
      </c>
      <c r="CD28" s="60">
        <v>247907.66307355999</v>
      </c>
      <c r="CE28" s="60">
        <v>249114.23524047001</v>
      </c>
      <c r="CF28" s="60">
        <v>248389.82951136999</v>
      </c>
      <c r="CG28" s="60">
        <v>249187.57237924001</v>
      </c>
      <c r="CH28" s="60">
        <v>249189.07127215</v>
      </c>
      <c r="CI28" s="60">
        <v>248524.39574996999</v>
      </c>
      <c r="CJ28" s="60">
        <v>248072.51546396999</v>
      </c>
      <c r="CK28" s="60">
        <v>248599.65886076001</v>
      </c>
      <c r="CL28" s="60">
        <v>248965.62117508001</v>
      </c>
      <c r="CM28" s="60">
        <v>248399.73388304</v>
      </c>
      <c r="CN28" s="60">
        <v>247151.54871201</v>
      </c>
      <c r="CO28" s="60">
        <v>245005.05050814</v>
      </c>
      <c r="CP28" s="60">
        <v>244561.61472238999</v>
      </c>
      <c r="CQ28" s="60">
        <v>244187.45430128</v>
      </c>
      <c r="CR28" s="60">
        <v>243907.71182970001</v>
      </c>
      <c r="CS28" s="60">
        <v>228379.86568012999</v>
      </c>
      <c r="CT28" s="60">
        <v>233844.9089985</v>
      </c>
      <c r="CU28" s="60">
        <v>233921.8142959</v>
      </c>
      <c r="CV28" s="60">
        <v>229867.04534837999</v>
      </c>
      <c r="CW28" s="60">
        <v>229868.45593562999</v>
      </c>
      <c r="CX28" s="60">
        <v>230118.12667736999</v>
      </c>
      <c r="CY28" s="60">
        <v>230692.23694777</v>
      </c>
      <c r="CZ28" s="60">
        <v>224608.51324719001</v>
      </c>
      <c r="DA28" s="60">
        <v>223297.54600865999</v>
      </c>
      <c r="DB28" s="60">
        <v>222149.93602707001</v>
      </c>
      <c r="DC28" s="60">
        <v>221064.2217002</v>
      </c>
      <c r="DD28" s="60">
        <v>221334.18995281999</v>
      </c>
      <c r="DE28" s="60">
        <v>63800.365142330003</v>
      </c>
      <c r="DF28" s="60">
        <v>64001.275769059997</v>
      </c>
      <c r="DG28" s="60">
        <v>63528.514837069997</v>
      </c>
    </row>
    <row r="29" spans="1:111" s="72" customFormat="1" x14ac:dyDescent="0.3">
      <c r="A29" s="69" t="s">
        <v>14</v>
      </c>
      <c r="B29" s="65">
        <v>150358.25199938001</v>
      </c>
      <c r="C29" s="65">
        <v>147055.62766771999</v>
      </c>
      <c r="D29" s="65">
        <v>147090.73177873998</v>
      </c>
      <c r="E29" s="65">
        <v>153929.44561959998</v>
      </c>
      <c r="F29" s="65">
        <v>153929.44561959998</v>
      </c>
      <c r="G29" s="65">
        <v>168006.74136297998</v>
      </c>
      <c r="H29" s="65">
        <v>167577.51502656</v>
      </c>
      <c r="I29" s="65">
        <v>167545.13314378003</v>
      </c>
      <c r="J29" s="66">
        <v>167600.69545804002</v>
      </c>
      <c r="K29" s="67">
        <v>168589.15564923</v>
      </c>
      <c r="L29" s="66">
        <v>168511.54416195001</v>
      </c>
      <c r="M29" s="65">
        <v>187916.71014809</v>
      </c>
      <c r="N29" s="65">
        <v>188425.30852671</v>
      </c>
      <c r="O29" s="66">
        <v>188803.32132528001</v>
      </c>
      <c r="P29" s="66">
        <v>183298.27939333001</v>
      </c>
      <c r="Q29" s="66">
        <v>183716.52739992001</v>
      </c>
      <c r="R29" s="66">
        <v>184424.62273993</v>
      </c>
      <c r="S29" s="66">
        <v>184785.27732674</v>
      </c>
      <c r="T29" s="66">
        <v>185409.39175616001</v>
      </c>
      <c r="U29" s="66">
        <v>185868.35900860999</v>
      </c>
      <c r="V29" s="66">
        <v>186153.33999891</v>
      </c>
      <c r="W29" s="66">
        <v>186823.36115518</v>
      </c>
      <c r="X29" s="66">
        <v>187306.15347364999</v>
      </c>
      <c r="Y29" s="66">
        <v>187747.38143663999</v>
      </c>
      <c r="Z29" s="66">
        <v>188263.63020235</v>
      </c>
      <c r="AA29" s="66">
        <v>188201.47540666</v>
      </c>
      <c r="AB29" s="66">
        <v>188667.36624654001</v>
      </c>
      <c r="AC29" s="66">
        <v>188915.81436465</v>
      </c>
      <c r="AD29" s="66">
        <v>188342.61231066001</v>
      </c>
      <c r="AE29" s="66">
        <v>188387.69626503999</v>
      </c>
      <c r="AF29" s="66">
        <v>188796.05296711001</v>
      </c>
      <c r="AG29" s="66">
        <v>189038.94625889001</v>
      </c>
      <c r="AH29" s="66">
        <v>189198.04894648</v>
      </c>
      <c r="AI29" s="66">
        <v>189437.88666518001</v>
      </c>
      <c r="AJ29" s="66">
        <v>189466.07178743</v>
      </c>
      <c r="AK29" s="66">
        <v>189347.22903225999</v>
      </c>
      <c r="AL29" s="66">
        <v>189680.68702675999</v>
      </c>
      <c r="AM29" s="66">
        <v>189569.94739208001</v>
      </c>
      <c r="AN29" s="66">
        <v>189660.44456549</v>
      </c>
      <c r="AO29" s="66">
        <v>189684.94205436</v>
      </c>
      <c r="AP29" s="66">
        <v>189925.15170769001</v>
      </c>
      <c r="AQ29" s="66">
        <v>190322.06933405</v>
      </c>
      <c r="AR29" s="66">
        <v>190541.39664660001</v>
      </c>
      <c r="AS29" s="66">
        <v>190696.22202289</v>
      </c>
      <c r="AT29" s="66">
        <v>186622.91042957001</v>
      </c>
      <c r="AU29" s="66">
        <v>169504.21529888999</v>
      </c>
      <c r="AV29" s="66">
        <v>169145.21933019001</v>
      </c>
      <c r="AW29" s="66">
        <v>162775.12307685</v>
      </c>
      <c r="AX29" s="66">
        <v>162922.61624798999</v>
      </c>
      <c r="AY29" s="66">
        <v>162521.03785117</v>
      </c>
      <c r="AZ29" s="66">
        <v>160244.79913601</v>
      </c>
      <c r="BA29" s="66">
        <v>160282.46872298999</v>
      </c>
      <c r="BB29" s="66">
        <v>160352.12683568001</v>
      </c>
      <c r="BC29" s="66">
        <v>160355.87221828999</v>
      </c>
      <c r="BD29" s="66">
        <v>159977.27162891001</v>
      </c>
      <c r="BE29" s="66">
        <v>160075.26594958999</v>
      </c>
      <c r="BF29" s="66">
        <v>158669.30580726999</v>
      </c>
      <c r="BG29" s="66">
        <v>158638.1763157</v>
      </c>
      <c r="BH29" s="66">
        <v>158627.99813061999</v>
      </c>
      <c r="BI29" s="66">
        <v>157804.81560626</v>
      </c>
      <c r="BJ29" s="66">
        <v>157848.93916986001</v>
      </c>
      <c r="BK29" s="66">
        <v>157758.99308928996</v>
      </c>
      <c r="BL29" s="66">
        <v>157613.23401299</v>
      </c>
      <c r="BM29" s="66">
        <v>157464.07020061999</v>
      </c>
      <c r="BN29" s="66">
        <v>157879.00567645</v>
      </c>
      <c r="BO29" s="66">
        <v>157690.29570694</v>
      </c>
      <c r="BP29" s="66">
        <v>157780.87009653001</v>
      </c>
      <c r="BQ29" s="66">
        <v>158001.88016202001</v>
      </c>
      <c r="BR29" s="66">
        <v>165236.36568702001</v>
      </c>
      <c r="BS29" s="66">
        <v>165919.42364328</v>
      </c>
      <c r="BT29" s="66">
        <v>166286.35293908001</v>
      </c>
      <c r="BU29" s="66">
        <v>164702.45107417001</v>
      </c>
      <c r="BV29" s="66">
        <v>164986.62548218001</v>
      </c>
      <c r="BW29" s="66">
        <v>164427.33108517001</v>
      </c>
      <c r="BX29" s="66">
        <v>164358.45875965999</v>
      </c>
      <c r="BY29" s="66">
        <v>164345.05076295999</v>
      </c>
      <c r="BZ29" s="66">
        <v>164604.77184979001</v>
      </c>
      <c r="CA29" s="66">
        <v>164605.03797867999</v>
      </c>
      <c r="CB29" s="66">
        <v>165085.01022272999</v>
      </c>
      <c r="CC29" s="66">
        <v>165028.95050787</v>
      </c>
      <c r="CD29" s="66">
        <v>164849.45147308</v>
      </c>
      <c r="CE29" s="66">
        <v>164853.71375726999</v>
      </c>
      <c r="CF29" s="66">
        <v>164682.50168198999</v>
      </c>
      <c r="CG29" s="66">
        <v>164638.60207803</v>
      </c>
      <c r="CH29" s="66">
        <v>164695.29359814999</v>
      </c>
      <c r="CI29" s="66">
        <v>164660.18191757999</v>
      </c>
      <c r="CJ29" s="66">
        <v>164324.38449765</v>
      </c>
      <c r="CK29" s="66">
        <v>164143.69075869001</v>
      </c>
      <c r="CL29" s="66">
        <v>164375.02199281001</v>
      </c>
      <c r="CM29" s="66">
        <v>164356.43773799</v>
      </c>
      <c r="CN29" s="66">
        <v>164275.77853298999</v>
      </c>
      <c r="CO29" s="66">
        <v>161759.02330090001</v>
      </c>
      <c r="CP29" s="66">
        <v>161680.99650671001</v>
      </c>
      <c r="CQ29" s="66">
        <v>161529.86845653001</v>
      </c>
      <c r="CR29" s="66">
        <v>161387.76432017999</v>
      </c>
      <c r="CS29" s="66">
        <v>152718.21108733999</v>
      </c>
      <c r="CT29" s="66">
        <v>152701.46623660001</v>
      </c>
      <c r="CU29" s="66">
        <v>152618.53544206999</v>
      </c>
      <c r="CV29" s="66">
        <v>152718.96201844999</v>
      </c>
      <c r="CW29" s="66">
        <v>152772.37862224001</v>
      </c>
      <c r="CX29" s="66">
        <v>153172.69544908</v>
      </c>
      <c r="CY29" s="66">
        <v>153119.65621722001</v>
      </c>
      <c r="CZ29" s="66">
        <v>153075.69815258999</v>
      </c>
      <c r="DA29" s="66">
        <v>152122.85616175001</v>
      </c>
      <c r="DB29" s="66">
        <v>152088.69103237</v>
      </c>
      <c r="DC29" s="66">
        <v>151960.2144124</v>
      </c>
      <c r="DD29" s="66">
        <v>151971.21522119999</v>
      </c>
      <c r="DE29" s="66">
        <v>11914.280402320001</v>
      </c>
      <c r="DF29" s="66">
        <v>12096.371207480001</v>
      </c>
      <c r="DG29" s="66">
        <v>11958.87486064</v>
      </c>
    </row>
    <row r="30" spans="1:111" s="72" customFormat="1" x14ac:dyDescent="0.3">
      <c r="A30" s="57" t="s">
        <v>15</v>
      </c>
      <c r="B30" s="65">
        <f>B28-B29</f>
        <v>3653.4176374099625</v>
      </c>
      <c r="C30" s="65">
        <f t="shared" ref="C30:I30" si="7">C28-C29</f>
        <v>44434.937257810001</v>
      </c>
      <c r="D30" s="65">
        <f t="shared" si="7"/>
        <v>44174.952175790007</v>
      </c>
      <c r="E30" s="65">
        <f t="shared" si="7"/>
        <v>44823.274756369996</v>
      </c>
      <c r="F30" s="65">
        <f t="shared" si="7"/>
        <v>45208.115917739982</v>
      </c>
      <c r="G30" s="65">
        <f t="shared" si="7"/>
        <v>45248.412791609968</v>
      </c>
      <c r="H30" s="65">
        <f t="shared" si="7"/>
        <v>50334.938403239998</v>
      </c>
      <c r="I30" s="65">
        <f t="shared" si="7"/>
        <v>50067.052858419978</v>
      </c>
      <c r="J30" s="65">
        <v>50592.116630989971</v>
      </c>
      <c r="K30" s="66">
        <v>50841.334130389994</v>
      </c>
      <c r="L30" s="66">
        <v>50764.287616949994</v>
      </c>
      <c r="M30" s="65">
        <v>51996.959373789985</v>
      </c>
      <c r="N30" s="65">
        <v>56039.597265830002</v>
      </c>
      <c r="O30" s="68">
        <v>57262.945666869986</v>
      </c>
      <c r="P30" s="68">
        <v>61719.550484259991</v>
      </c>
      <c r="Q30" s="68">
        <v>62637.961249219981</v>
      </c>
      <c r="R30" s="68">
        <v>62776.854393949994</v>
      </c>
      <c r="S30" s="68">
        <v>62153.780067279993</v>
      </c>
      <c r="T30" s="68">
        <v>62600.574147370004</v>
      </c>
      <c r="U30" s="68">
        <v>62999.789145550021</v>
      </c>
      <c r="V30" s="68">
        <v>63200.252913500008</v>
      </c>
      <c r="W30" s="68">
        <v>62545.52219121001</v>
      </c>
      <c r="X30" s="68">
        <v>62744.624749480019</v>
      </c>
      <c r="Y30" s="68">
        <v>63786.333576180012</v>
      </c>
      <c r="Z30" s="68">
        <v>59315.647652610001</v>
      </c>
      <c r="AA30" s="68">
        <v>57366.852914949995</v>
      </c>
      <c r="AB30" s="68">
        <v>57189.340216649987</v>
      </c>
      <c r="AC30" s="68">
        <v>57619.793747010001</v>
      </c>
      <c r="AD30" s="68">
        <v>56942.736326869985</v>
      </c>
      <c r="AE30" s="68">
        <v>59047.956194630009</v>
      </c>
      <c r="AF30" s="68">
        <v>60036.107635169988</v>
      </c>
      <c r="AG30" s="68">
        <v>56210.474483909988</v>
      </c>
      <c r="AH30" s="68">
        <v>55924.015376850002</v>
      </c>
      <c r="AI30" s="68">
        <v>58643.984299620002</v>
      </c>
      <c r="AJ30" s="68">
        <v>58534.547728809994</v>
      </c>
      <c r="AK30" s="68">
        <v>56497.346486320021</v>
      </c>
      <c r="AL30" s="68">
        <v>56588.957641040004</v>
      </c>
      <c r="AM30" s="68">
        <v>56712.840163939982</v>
      </c>
      <c r="AN30" s="68">
        <v>56639.259602520004</v>
      </c>
      <c r="AO30" s="68">
        <v>55319.247374869999</v>
      </c>
      <c r="AP30" s="68">
        <v>52905.420725779986</v>
      </c>
      <c r="AQ30" s="68">
        <v>52214.620533529989</v>
      </c>
      <c r="AR30" s="68">
        <v>52406.151089749997</v>
      </c>
      <c r="AS30" s="68">
        <v>52598.613295799994</v>
      </c>
      <c r="AT30" s="68">
        <v>54599.624459140003</v>
      </c>
      <c r="AU30" s="68">
        <v>54555.086154830002</v>
      </c>
      <c r="AV30" s="68">
        <v>56355.25498261</v>
      </c>
      <c r="AW30" s="68">
        <v>57049.253313280002</v>
      </c>
      <c r="AX30" s="68">
        <v>57739.292162689992</v>
      </c>
      <c r="AY30" s="68">
        <v>57913.570223070012</v>
      </c>
      <c r="AZ30" s="68">
        <v>57935.318676689989</v>
      </c>
      <c r="BA30" s="68">
        <v>57245.184878330008</v>
      </c>
      <c r="BB30" s="68">
        <v>53944.924957179988</v>
      </c>
      <c r="BC30" s="68">
        <v>58738.255461619992</v>
      </c>
      <c r="BD30" s="68">
        <v>57323.94980912999</v>
      </c>
      <c r="BE30" s="68">
        <v>56926.228398110019</v>
      </c>
      <c r="BF30" s="68">
        <v>56949.713652200007</v>
      </c>
      <c r="BG30" s="68">
        <v>57036.461887820013</v>
      </c>
      <c r="BH30" s="68">
        <v>57603.839373960014</v>
      </c>
      <c r="BI30" s="68">
        <v>50887.388198369998</v>
      </c>
      <c r="BJ30" s="68">
        <v>51105.342494749988</v>
      </c>
      <c r="BK30" s="68">
        <v>51217.021461909928</v>
      </c>
      <c r="BL30" s="68">
        <v>52234.608695160015</v>
      </c>
      <c r="BM30" s="68">
        <v>52437.73076897001</v>
      </c>
      <c r="BN30" s="68">
        <v>54814.979489489982</v>
      </c>
      <c r="BO30" s="68">
        <v>65516.483061600011</v>
      </c>
      <c r="BP30" s="68">
        <v>67191.089553659986</v>
      </c>
      <c r="BQ30" s="68">
        <v>67290.255066529993</v>
      </c>
      <c r="BR30" s="68">
        <v>69605.049948230007</v>
      </c>
      <c r="BS30" s="68">
        <v>70201.698961599992</v>
      </c>
      <c r="BT30" s="68">
        <v>73538.567061139998</v>
      </c>
      <c r="BU30" s="68">
        <v>76666.594308500004</v>
      </c>
      <c r="BV30" s="68">
        <v>77069.92533885999</v>
      </c>
      <c r="BW30" s="68">
        <v>77210.023729609995</v>
      </c>
      <c r="BX30" s="68">
        <v>75878.245111540018</v>
      </c>
      <c r="BY30" s="68">
        <v>75921.53938817</v>
      </c>
      <c r="BZ30" s="68">
        <v>74337.78111335999</v>
      </c>
      <c r="CA30" s="68">
        <v>74151.266573130008</v>
      </c>
      <c r="CB30" s="68">
        <v>86032.344692650018</v>
      </c>
      <c r="CC30" s="68">
        <v>82852.940557269991</v>
      </c>
      <c r="CD30" s="68">
        <v>83058.21160047999</v>
      </c>
      <c r="CE30" s="68">
        <v>84260.52148320002</v>
      </c>
      <c r="CF30" s="68">
        <v>83707.327829379996</v>
      </c>
      <c r="CG30" s="68">
        <v>84548.970301210007</v>
      </c>
      <c r="CH30" s="68">
        <v>84493.777674000012</v>
      </c>
      <c r="CI30" s="68">
        <v>83864.21383239</v>
      </c>
      <c r="CJ30" s="68">
        <v>83748.130966319994</v>
      </c>
      <c r="CK30" s="68">
        <v>84455.968102070008</v>
      </c>
      <c r="CL30" s="68">
        <v>84590.599182270002</v>
      </c>
      <c r="CM30" s="68">
        <v>84043.296145050001</v>
      </c>
      <c r="CN30" s="68">
        <v>82875.770179020008</v>
      </c>
      <c r="CO30" s="68">
        <v>83246.027207239997</v>
      </c>
      <c r="CP30" s="68">
        <v>82880.618215679977</v>
      </c>
      <c r="CQ30" s="68">
        <v>82657.585844749992</v>
      </c>
      <c r="CR30" s="68">
        <v>82519.947509520018</v>
      </c>
      <c r="CS30" s="68">
        <v>75661.654592790001</v>
      </c>
      <c r="CT30" s="68">
        <v>81143.442761899991</v>
      </c>
      <c r="CU30" s="68">
        <v>81303.278853830008</v>
      </c>
      <c r="CV30" s="68">
        <v>77148.083329929999</v>
      </c>
      <c r="CW30" s="68">
        <v>77096.077313389978</v>
      </c>
      <c r="CX30" s="68">
        <v>76945.431228289992</v>
      </c>
      <c r="CY30" s="68">
        <v>77572.580730549991</v>
      </c>
      <c r="CZ30" s="68">
        <v>71532.815094600024</v>
      </c>
      <c r="DA30" s="68">
        <v>71174.689846909983</v>
      </c>
      <c r="DB30" s="68">
        <v>70061.244994700013</v>
      </c>
      <c r="DC30" s="68">
        <v>69104.007287799992</v>
      </c>
      <c r="DD30" s="68">
        <v>69362.974731619994</v>
      </c>
      <c r="DE30" s="68">
        <v>51886.084740010003</v>
      </c>
      <c r="DF30" s="68">
        <v>51904.904561579999</v>
      </c>
      <c r="DG30" s="68">
        <v>51569.63997643</v>
      </c>
    </row>
    <row r="31" spans="1:111" s="72" customFormat="1" x14ac:dyDescent="0.3">
      <c r="A31" s="69" t="s">
        <v>16</v>
      </c>
      <c r="B31" s="65">
        <v>31894.342226100001</v>
      </c>
      <c r="C31" s="65">
        <v>35215.547251090007</v>
      </c>
      <c r="D31" s="65">
        <v>33125.024392699997</v>
      </c>
      <c r="E31" s="65">
        <v>32608.445767310011</v>
      </c>
      <c r="F31" s="65">
        <v>33361.610754430003</v>
      </c>
      <c r="G31" s="65">
        <v>35881.656136620011</v>
      </c>
      <c r="H31" s="65">
        <v>36489.280535639999</v>
      </c>
      <c r="I31" s="65">
        <v>35511.218611249999</v>
      </c>
      <c r="J31" s="68">
        <v>36154.615933540008</v>
      </c>
      <c r="K31" s="66">
        <v>35551.99655797</v>
      </c>
      <c r="L31" s="66">
        <v>34483.918821179999</v>
      </c>
      <c r="M31" s="65">
        <v>33382.713078070003</v>
      </c>
      <c r="N31" s="68">
        <v>37263.875367070003</v>
      </c>
      <c r="O31" s="66">
        <v>36986.868052029997</v>
      </c>
      <c r="P31" s="66">
        <v>36482.538774699999</v>
      </c>
      <c r="Q31" s="66">
        <v>36081.735919070001</v>
      </c>
      <c r="R31" s="66">
        <v>35931.176862699998</v>
      </c>
      <c r="S31" s="66">
        <v>34719.892051089999</v>
      </c>
      <c r="T31" s="66">
        <v>34999.420887870001</v>
      </c>
      <c r="U31" s="66">
        <v>35318.67838184</v>
      </c>
      <c r="V31" s="66">
        <v>35619.531521049998</v>
      </c>
      <c r="W31" s="66">
        <v>35660.389717999999</v>
      </c>
      <c r="X31" s="66">
        <v>32287.137126180001</v>
      </c>
      <c r="Y31" s="66">
        <v>30460.97427124</v>
      </c>
      <c r="Z31" s="66">
        <v>29770.084567900001</v>
      </c>
      <c r="AA31" s="66">
        <v>29150.575037909999</v>
      </c>
      <c r="AB31" s="66">
        <v>28949.331289599999</v>
      </c>
      <c r="AC31" s="66">
        <v>27720.93240876</v>
      </c>
      <c r="AD31" s="66">
        <v>27588.642036839999</v>
      </c>
      <c r="AE31" s="66">
        <v>27365.74799752</v>
      </c>
      <c r="AF31" s="66">
        <v>27306.622156640002</v>
      </c>
      <c r="AG31" s="66">
        <v>25889.190941249999</v>
      </c>
      <c r="AH31" s="66">
        <v>26461.514469279999</v>
      </c>
      <c r="AI31" s="66">
        <v>25956.897909970001</v>
      </c>
      <c r="AJ31" s="66">
        <v>26937.949988939999</v>
      </c>
      <c r="AK31" s="66">
        <v>23593.398112710001</v>
      </c>
      <c r="AL31" s="66">
        <v>23472.566251659999</v>
      </c>
      <c r="AM31" s="66">
        <v>22974.475526080001</v>
      </c>
      <c r="AN31" s="66">
        <v>22397.632917110001</v>
      </c>
      <c r="AO31" s="66">
        <v>22275.052042560001</v>
      </c>
      <c r="AP31" s="66">
        <v>22262.76237954</v>
      </c>
      <c r="AQ31" s="66">
        <v>22717.511121420001</v>
      </c>
      <c r="AR31" s="66">
        <v>22812.098117050002</v>
      </c>
      <c r="AS31" s="66">
        <v>22870.782322909999</v>
      </c>
      <c r="AT31" s="66">
        <v>20821.65323367</v>
      </c>
      <c r="AU31" s="66">
        <v>20241.203632029999</v>
      </c>
      <c r="AV31" s="66">
        <v>20208.053792399998</v>
      </c>
      <c r="AW31" s="66">
        <v>18172.335086359999</v>
      </c>
      <c r="AX31" s="66">
        <v>18686.11722308</v>
      </c>
      <c r="AY31" s="66">
        <v>18570.818788060002</v>
      </c>
      <c r="AZ31" s="66">
        <v>18446.401884319999</v>
      </c>
      <c r="BA31" s="66">
        <v>19102.895762839998</v>
      </c>
      <c r="BB31" s="66">
        <v>18471.507999829999</v>
      </c>
      <c r="BC31" s="66">
        <v>18158.69773235</v>
      </c>
      <c r="BD31" s="66">
        <v>18206.971452869999</v>
      </c>
      <c r="BE31" s="66">
        <v>18262.052123469999</v>
      </c>
      <c r="BF31" s="66">
        <v>17828.0018084</v>
      </c>
      <c r="BG31" s="66">
        <v>17646.594169510001</v>
      </c>
      <c r="BH31" s="66">
        <v>17171.19057241</v>
      </c>
      <c r="BI31" s="66">
        <v>17021.353850489999</v>
      </c>
      <c r="BJ31" s="66">
        <v>17369.79600785</v>
      </c>
      <c r="BK31" s="66">
        <v>12589.785839530001</v>
      </c>
      <c r="BL31" s="66">
        <v>9293.0988791399996</v>
      </c>
      <c r="BM31" s="66">
        <v>9749.9285667500008</v>
      </c>
      <c r="BN31" s="66">
        <v>10862.31830662</v>
      </c>
      <c r="BO31" s="66">
        <v>15427.65047375</v>
      </c>
      <c r="BP31" s="66">
        <v>17789.814225490001</v>
      </c>
      <c r="BQ31" s="66">
        <v>19666.641236169999</v>
      </c>
      <c r="BR31" s="66">
        <v>26274.9481686</v>
      </c>
      <c r="BS31" s="66">
        <v>29291.394830559999</v>
      </c>
      <c r="BT31" s="66">
        <v>30790.634070370001</v>
      </c>
      <c r="BU31" s="66">
        <v>32138.309906999999</v>
      </c>
      <c r="BV31" s="66">
        <v>35455.235720670004</v>
      </c>
      <c r="BW31" s="66">
        <v>34693.815771039997</v>
      </c>
      <c r="BX31" s="66">
        <v>34363.240454849998</v>
      </c>
      <c r="BY31" s="66">
        <v>33088.33618246</v>
      </c>
      <c r="BZ31" s="66">
        <v>32832.466325560003</v>
      </c>
      <c r="CA31" s="66">
        <v>32573.231126859999</v>
      </c>
      <c r="CB31" s="66">
        <v>22387.133937750001</v>
      </c>
      <c r="CC31" s="66">
        <v>22040.681647289999</v>
      </c>
      <c r="CD31" s="66">
        <v>21602.582329979999</v>
      </c>
      <c r="CE31" s="66">
        <v>22300.463937550001</v>
      </c>
      <c r="CF31" s="66">
        <v>22713.917249059999</v>
      </c>
      <c r="CG31" s="66">
        <v>20006.439288400001</v>
      </c>
      <c r="CH31" s="66">
        <v>19761.373543230002</v>
      </c>
      <c r="CI31" s="66">
        <v>19331.577506879999</v>
      </c>
      <c r="CJ31" s="66">
        <v>19044.151096689999</v>
      </c>
      <c r="CK31" s="66">
        <v>18549.817352729999</v>
      </c>
      <c r="CL31" s="66">
        <v>17821.997378650001</v>
      </c>
      <c r="CM31" s="66">
        <v>17247.805664889998</v>
      </c>
      <c r="CN31" s="66">
        <v>16925.789693480001</v>
      </c>
      <c r="CO31" s="66">
        <v>16588.56527332</v>
      </c>
      <c r="CP31" s="66">
        <v>16186.4964332</v>
      </c>
      <c r="CQ31" s="66">
        <v>15531.74060617</v>
      </c>
      <c r="CR31" s="66">
        <v>14942.98247124</v>
      </c>
      <c r="CS31" s="66">
        <v>13463.360588629999</v>
      </c>
      <c r="CT31" s="66">
        <v>12955.874342900001</v>
      </c>
      <c r="CU31" s="66">
        <v>12721.230883939999</v>
      </c>
      <c r="CV31" s="66">
        <v>12213.28268557</v>
      </c>
      <c r="CW31" s="66">
        <v>12356.761257009999</v>
      </c>
      <c r="CX31" s="66">
        <v>12227.601989250001</v>
      </c>
      <c r="CY31" s="66">
        <v>11425.46706132</v>
      </c>
      <c r="CZ31" s="66">
        <v>10909.701032180001</v>
      </c>
      <c r="DA31" s="66">
        <v>10722.616123440001</v>
      </c>
      <c r="DB31" s="66">
        <v>10384.170476130001</v>
      </c>
      <c r="DC31" s="66">
        <v>9965.3238880499994</v>
      </c>
      <c r="DD31" s="66">
        <v>9451.4993685999998</v>
      </c>
      <c r="DE31" s="66">
        <v>8851.8907668699994</v>
      </c>
      <c r="DF31" s="66">
        <v>9079.7109537399992</v>
      </c>
      <c r="DG31" s="66">
        <v>9125.9486402799994</v>
      </c>
    </row>
    <row r="32" spans="1:111" s="63" customFormat="1" x14ac:dyDescent="0.3">
      <c r="A32" s="57" t="s">
        <v>17</v>
      </c>
      <c r="B32" s="65">
        <v>10023.880553399997</v>
      </c>
      <c r="C32" s="65">
        <v>9835.9305379499983</v>
      </c>
      <c r="D32" s="65">
        <v>9925.9382173000067</v>
      </c>
      <c r="E32" s="65">
        <v>9487.1439096999966</v>
      </c>
      <c r="F32" s="65">
        <v>10906.066982669996</v>
      </c>
      <c r="G32" s="65">
        <v>11761.21153364</v>
      </c>
      <c r="H32" s="65">
        <v>11857.158686250001</v>
      </c>
      <c r="I32" s="65">
        <v>12757.825517929994</v>
      </c>
      <c r="J32" s="61">
        <v>13562.32304046</v>
      </c>
      <c r="K32" s="61">
        <v>13609.117309470001</v>
      </c>
      <c r="L32" s="60">
        <v>13187.56978948</v>
      </c>
      <c r="M32" s="65">
        <v>13424.358169609999</v>
      </c>
      <c r="N32" s="66">
        <v>14049.70877949</v>
      </c>
      <c r="O32" s="66">
        <v>13863.649444459999</v>
      </c>
      <c r="P32" s="66">
        <v>14251.571529090001</v>
      </c>
      <c r="Q32" s="66">
        <v>14546.46794645</v>
      </c>
      <c r="R32" s="66">
        <v>14679.3986286</v>
      </c>
      <c r="S32" s="66">
        <v>14809.4508324</v>
      </c>
      <c r="T32" s="66">
        <v>14930.566146249999</v>
      </c>
      <c r="U32" s="66">
        <v>15076.97587898</v>
      </c>
      <c r="V32" s="66">
        <v>14748.79866239</v>
      </c>
      <c r="W32" s="66">
        <v>14363.092741349999</v>
      </c>
      <c r="X32" s="66">
        <v>14464.87123939</v>
      </c>
      <c r="Y32" s="66">
        <v>14636.92927556</v>
      </c>
      <c r="Z32" s="66">
        <v>14794.415045170001</v>
      </c>
      <c r="AA32" s="66">
        <v>14353.08676788</v>
      </c>
      <c r="AB32" s="66">
        <v>14428.28504952</v>
      </c>
      <c r="AC32" s="66">
        <v>14692.159398039999</v>
      </c>
      <c r="AD32" s="66">
        <v>14881.28630933</v>
      </c>
      <c r="AE32" s="66">
        <v>14968.694909940001</v>
      </c>
      <c r="AF32" s="66">
        <v>14734.89348913</v>
      </c>
      <c r="AG32" s="66">
        <v>15138.290347509999</v>
      </c>
      <c r="AH32" s="66">
        <v>15414.345611770001</v>
      </c>
      <c r="AI32" s="66">
        <v>14884.97239743</v>
      </c>
      <c r="AJ32" s="66">
        <v>15058.04372947</v>
      </c>
      <c r="AK32" s="66">
        <v>14227.77311946</v>
      </c>
      <c r="AL32" s="66">
        <v>14335.93112327</v>
      </c>
      <c r="AM32" s="66">
        <v>14085.20437517</v>
      </c>
      <c r="AN32" s="66">
        <v>13919.41786492</v>
      </c>
      <c r="AO32" s="66">
        <v>13962.667728459999</v>
      </c>
      <c r="AP32" s="66">
        <v>14584.256782660001</v>
      </c>
      <c r="AQ32" s="66">
        <v>14806.066096029999</v>
      </c>
      <c r="AR32" s="66">
        <v>15515.253495180001</v>
      </c>
      <c r="AS32" s="66">
        <v>15903.96665595</v>
      </c>
      <c r="AT32" s="66">
        <v>14118.950986190001</v>
      </c>
      <c r="AU32" s="66">
        <v>14010.585311180001</v>
      </c>
      <c r="AV32" s="66">
        <v>14332.637552620001</v>
      </c>
      <c r="AW32" s="66">
        <v>12699.035452</v>
      </c>
      <c r="AX32" s="66">
        <v>12762.800404899999</v>
      </c>
      <c r="AY32" s="66">
        <v>12163.687076820001</v>
      </c>
      <c r="AZ32" s="66">
        <v>11584.11658091</v>
      </c>
      <c r="BA32" s="66">
        <v>11771.83667929</v>
      </c>
      <c r="BB32" s="66">
        <v>11659.31922965</v>
      </c>
      <c r="BC32" s="66">
        <v>11600.04860013</v>
      </c>
      <c r="BD32" s="66">
        <v>11617.949863919999</v>
      </c>
      <c r="BE32" s="66">
        <v>11530.53983457</v>
      </c>
      <c r="BF32" s="66">
        <v>11315.55678519</v>
      </c>
      <c r="BG32" s="66">
        <v>11195.675863439999</v>
      </c>
      <c r="BH32" s="66">
        <v>10884.51375056</v>
      </c>
      <c r="BI32" s="66">
        <v>10543.07892521</v>
      </c>
      <c r="BJ32" s="66">
        <v>10873.63507059</v>
      </c>
      <c r="BK32" s="66">
        <v>11009.139337739998</v>
      </c>
      <c r="BL32" s="66">
        <v>14952.62818265</v>
      </c>
      <c r="BM32" s="66">
        <v>15587.873809729999</v>
      </c>
      <c r="BN32" s="66">
        <v>16384.077119279998</v>
      </c>
      <c r="BO32" s="66">
        <v>16863.310360709998</v>
      </c>
      <c r="BP32" s="66">
        <v>18132.884626139999</v>
      </c>
      <c r="BQ32" s="66">
        <v>18899.919921829998</v>
      </c>
      <c r="BR32" s="66">
        <v>26841.151927989999</v>
      </c>
      <c r="BS32" s="66">
        <v>29819.13412499</v>
      </c>
      <c r="BT32" s="66">
        <v>32533.80140765</v>
      </c>
      <c r="BU32" s="66">
        <v>35550.05600972</v>
      </c>
      <c r="BV32" s="66">
        <v>36764.863891820001</v>
      </c>
      <c r="BW32" s="66">
        <v>36562.08128192</v>
      </c>
      <c r="BX32" s="66">
        <v>35727.484763580003</v>
      </c>
      <c r="BY32" s="66">
        <v>35795.97664814</v>
      </c>
      <c r="BZ32" s="66">
        <v>35578.611672899999</v>
      </c>
      <c r="CA32" s="66">
        <v>33207.158250369997</v>
      </c>
      <c r="CB32" s="66">
        <v>33426.617209000004</v>
      </c>
      <c r="CC32" s="66">
        <v>32011.725240700001</v>
      </c>
      <c r="CD32" s="66">
        <v>29074.48604815</v>
      </c>
      <c r="CE32" s="66">
        <v>29652.29711462</v>
      </c>
      <c r="CF32" s="66">
        <v>29555.375362700001</v>
      </c>
      <c r="CG32" s="66">
        <v>26154.718948189999</v>
      </c>
      <c r="CH32" s="66">
        <v>25897.049373419999</v>
      </c>
      <c r="CI32" s="66">
        <v>25804.622992010001</v>
      </c>
      <c r="CJ32" s="66">
        <v>24559.75248349</v>
      </c>
      <c r="CK32" s="66">
        <v>24018.644012119999</v>
      </c>
      <c r="CL32" s="66">
        <v>23197.84670142</v>
      </c>
      <c r="CM32" s="66">
        <v>22527.839376110001</v>
      </c>
      <c r="CN32" s="61">
        <v>22784.446147300001</v>
      </c>
      <c r="CO32" s="61">
        <v>23415.00723277</v>
      </c>
      <c r="CP32" s="61">
        <v>23479.94953152</v>
      </c>
      <c r="CQ32" s="61">
        <v>24331.241772360001</v>
      </c>
      <c r="CR32" s="61">
        <v>24313.75891995</v>
      </c>
      <c r="CS32" s="61">
        <v>24201.61327387</v>
      </c>
      <c r="CT32" s="61">
        <v>23887.813977270001</v>
      </c>
      <c r="CU32" s="61">
        <v>22469.070692860001</v>
      </c>
      <c r="CV32" s="61">
        <v>21426.665142900001</v>
      </c>
      <c r="CW32" s="61">
        <v>21798.009788160001</v>
      </c>
      <c r="CX32" s="61">
        <v>21869.125301079999</v>
      </c>
      <c r="CY32" s="61">
        <v>23072.8706748</v>
      </c>
      <c r="CZ32" s="61">
        <v>23238.42674639</v>
      </c>
      <c r="DA32" s="61">
        <v>23708.542536059998</v>
      </c>
      <c r="DB32" s="61">
        <v>22821.621307059999</v>
      </c>
      <c r="DC32" s="61">
        <v>22769.790232070001</v>
      </c>
      <c r="DD32" s="61">
        <v>23518.371429089999</v>
      </c>
      <c r="DE32" s="61">
        <v>21607.35446749</v>
      </c>
      <c r="DF32" s="61">
        <v>22139.153621599999</v>
      </c>
      <c r="DG32" s="61">
        <v>21762.614983269999</v>
      </c>
    </row>
    <row r="33" spans="1:111" s="72" customFormat="1" x14ac:dyDescent="0.3">
      <c r="A33" s="71" t="s">
        <v>18</v>
      </c>
      <c r="B33" s="68">
        <v>6952.3984637799995</v>
      </c>
      <c r="C33" s="68">
        <v>4867.39094355</v>
      </c>
      <c r="D33" s="68">
        <v>6545.5355467100007</v>
      </c>
      <c r="E33" s="68">
        <v>4543.7216878100007</v>
      </c>
      <c r="F33" s="68">
        <v>8325.7584297500016</v>
      </c>
      <c r="G33" s="68">
        <v>8916.4050422899982</v>
      </c>
      <c r="H33" s="68">
        <v>8611.7467127500004</v>
      </c>
      <c r="I33" s="68">
        <v>9052.0359486399993</v>
      </c>
      <c r="J33" s="65">
        <v>9394.9543253799984</v>
      </c>
      <c r="K33" s="66">
        <v>9462.8038355699991</v>
      </c>
      <c r="L33" s="67">
        <v>9545.4044349399992</v>
      </c>
      <c r="M33" s="66">
        <v>7264.2794638200003</v>
      </c>
      <c r="N33" s="68">
        <v>7289.8080302899998</v>
      </c>
      <c r="O33" s="68">
        <v>7876.8342358999998</v>
      </c>
      <c r="P33" s="66">
        <v>9725.4956791599998</v>
      </c>
      <c r="Q33" s="66">
        <v>10577.00178024</v>
      </c>
      <c r="R33" s="66">
        <v>10673.9321595</v>
      </c>
      <c r="S33" s="66">
        <v>11203.56647842</v>
      </c>
      <c r="T33" s="66">
        <v>7407.5236371800002</v>
      </c>
      <c r="U33" s="66">
        <v>7427.6940947499997</v>
      </c>
      <c r="V33" s="66">
        <v>7407.53026417</v>
      </c>
      <c r="W33" s="66">
        <v>15941.967786069999</v>
      </c>
      <c r="X33" s="66">
        <v>10383.41263893</v>
      </c>
      <c r="Y33" s="66">
        <v>7407.5239766300001</v>
      </c>
      <c r="Z33" s="66">
        <v>7407.5285641600003</v>
      </c>
      <c r="AA33" s="66">
        <v>7407.5285641600003</v>
      </c>
      <c r="AB33" s="66">
        <v>7669.4226891799999</v>
      </c>
      <c r="AC33" s="66">
        <v>7970.8599428300004</v>
      </c>
      <c r="AD33" s="66">
        <v>0</v>
      </c>
      <c r="AE33" s="66">
        <v>0</v>
      </c>
      <c r="AF33" s="66">
        <v>0</v>
      </c>
      <c r="AG33" s="66">
        <v>0</v>
      </c>
      <c r="AH33" s="66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</v>
      </c>
      <c r="AQ33" s="66">
        <v>0</v>
      </c>
      <c r="AR33" s="66">
        <v>0</v>
      </c>
      <c r="AS33" s="66">
        <v>79.117019990000003</v>
      </c>
      <c r="AT33" s="66">
        <v>0</v>
      </c>
      <c r="AU33" s="66">
        <v>0</v>
      </c>
      <c r="AV33" s="66">
        <v>0</v>
      </c>
      <c r="AW33" s="66">
        <v>167.70288210000001</v>
      </c>
      <c r="AX33" s="66">
        <v>0</v>
      </c>
      <c r="AY33" s="66">
        <v>0</v>
      </c>
      <c r="AZ33" s="66">
        <v>0</v>
      </c>
      <c r="BA33" s="66">
        <v>0</v>
      </c>
      <c r="BB33" s="66">
        <v>0</v>
      </c>
      <c r="BC33" s="66">
        <v>0</v>
      </c>
      <c r="BD33" s="66">
        <v>0</v>
      </c>
      <c r="BE33" s="66">
        <v>475.39717231999998</v>
      </c>
      <c r="BF33" s="66">
        <v>0</v>
      </c>
      <c r="BG33" s="66">
        <v>0</v>
      </c>
      <c r="BH33" s="66">
        <v>0</v>
      </c>
      <c r="BI33" s="66">
        <v>0</v>
      </c>
      <c r="BJ33" s="66">
        <v>0</v>
      </c>
      <c r="BK33" s="66">
        <v>0</v>
      </c>
      <c r="BL33" s="66">
        <v>0</v>
      </c>
      <c r="BM33" s="66">
        <v>0</v>
      </c>
      <c r="BN33" s="66">
        <v>0</v>
      </c>
      <c r="BO33" s="66">
        <v>1423.7725218099999</v>
      </c>
      <c r="BP33" s="66">
        <v>0</v>
      </c>
      <c r="BQ33" s="66">
        <v>121.30775380999999</v>
      </c>
      <c r="BR33" s="66">
        <v>153.08671268000001</v>
      </c>
      <c r="BS33" s="66">
        <v>0</v>
      </c>
      <c r="BT33" s="66">
        <v>0</v>
      </c>
      <c r="BU33" s="66">
        <v>0</v>
      </c>
      <c r="BV33" s="66">
        <v>0</v>
      </c>
      <c r="BW33" s="66">
        <v>0</v>
      </c>
      <c r="BX33" s="66">
        <v>0</v>
      </c>
      <c r="BY33" s="66">
        <v>0</v>
      </c>
      <c r="BZ33" s="66">
        <v>0</v>
      </c>
      <c r="CA33" s="66">
        <v>0</v>
      </c>
      <c r="CB33" s="66">
        <v>0</v>
      </c>
      <c r="CC33" s="66">
        <v>0</v>
      </c>
      <c r="CD33" s="66">
        <v>0</v>
      </c>
      <c r="CE33" s="66">
        <v>0</v>
      </c>
      <c r="CF33" s="66">
        <v>0</v>
      </c>
      <c r="CG33" s="66">
        <v>0</v>
      </c>
      <c r="CH33" s="66">
        <v>0</v>
      </c>
      <c r="CI33" s="66">
        <v>0</v>
      </c>
      <c r="CJ33" s="66">
        <v>0</v>
      </c>
      <c r="CK33" s="66">
        <v>0</v>
      </c>
      <c r="CL33" s="66">
        <v>0</v>
      </c>
      <c r="CM33" s="66">
        <v>0</v>
      </c>
      <c r="CN33" s="66">
        <v>0</v>
      </c>
      <c r="CO33" s="66">
        <v>0</v>
      </c>
      <c r="CP33" s="66">
        <v>0</v>
      </c>
      <c r="CQ33" s="66">
        <v>0</v>
      </c>
      <c r="CR33" s="66">
        <v>0</v>
      </c>
      <c r="CS33" s="66">
        <v>114.92877978999999</v>
      </c>
      <c r="CT33" s="66">
        <v>0</v>
      </c>
      <c r="CU33" s="66">
        <v>0</v>
      </c>
      <c r="CV33" s="66">
        <v>0</v>
      </c>
      <c r="CW33" s="66">
        <v>0</v>
      </c>
      <c r="CX33" s="66">
        <v>0</v>
      </c>
      <c r="CY33" s="66">
        <v>0</v>
      </c>
      <c r="CZ33" s="66">
        <v>0</v>
      </c>
      <c r="DA33" s="66">
        <v>0</v>
      </c>
      <c r="DB33" s="66">
        <v>0</v>
      </c>
      <c r="DC33" s="66">
        <v>0</v>
      </c>
      <c r="DD33" s="66">
        <v>71.800305460000004</v>
      </c>
      <c r="DE33" s="66">
        <v>0</v>
      </c>
      <c r="DF33" s="66">
        <v>0</v>
      </c>
      <c r="DG33" s="66">
        <v>43.965567270000001</v>
      </c>
    </row>
    <row r="34" spans="1:111" s="90" customFormat="1" x14ac:dyDescent="0.3">
      <c r="A34" s="84" t="s">
        <v>20</v>
      </c>
      <c r="B34" s="85">
        <f>IFERROR(100*(B26/B18),0)</f>
        <v>47.272520668403608</v>
      </c>
      <c r="C34" s="86">
        <f t="shared" ref="C34:I34" si="8">IFERROR(100*(C26/C18),0)</f>
        <v>47.429622952846984</v>
      </c>
      <c r="D34" s="85">
        <f t="shared" si="8"/>
        <v>46.908781771011412</v>
      </c>
      <c r="E34" s="85">
        <f t="shared" si="8"/>
        <v>49.368543095161783</v>
      </c>
      <c r="F34" s="85">
        <f t="shared" si="8"/>
        <v>49.149922820597418</v>
      </c>
      <c r="G34" s="85">
        <f t="shared" si="8"/>
        <v>51.69429500597775</v>
      </c>
      <c r="H34" s="85">
        <f t="shared" si="8"/>
        <v>51.714439700135351</v>
      </c>
      <c r="I34" s="85">
        <f t="shared" si="8"/>
        <v>50.868827380963523</v>
      </c>
      <c r="J34" s="87">
        <v>50.556926253812541</v>
      </c>
      <c r="K34" s="87">
        <v>50.269898738872101</v>
      </c>
      <c r="L34" s="88">
        <v>49.675801640943597</v>
      </c>
      <c r="M34" s="85">
        <v>51.062477098298302</v>
      </c>
      <c r="N34" s="89">
        <v>51.916532589776402</v>
      </c>
      <c r="O34" s="89">
        <v>51.839612289902902</v>
      </c>
      <c r="P34" s="89">
        <v>51.6503111949201</v>
      </c>
      <c r="Q34" s="89">
        <v>51.538721675659502</v>
      </c>
      <c r="R34" s="87">
        <v>51.2505851449638</v>
      </c>
      <c r="S34" s="87">
        <v>51.050062968745102</v>
      </c>
      <c r="T34" s="87">
        <v>49.976103865934299</v>
      </c>
      <c r="U34" s="87">
        <v>49.039090247628799</v>
      </c>
      <c r="V34" s="87">
        <v>48.359181417989298</v>
      </c>
      <c r="W34" s="87">
        <v>49.433152700675102</v>
      </c>
      <c r="X34" s="87">
        <v>47.579513380704299</v>
      </c>
      <c r="Y34" s="87">
        <v>47.599756924872203</v>
      </c>
      <c r="Z34" s="87">
        <v>47.797233215069703</v>
      </c>
      <c r="AA34" s="87">
        <v>47.032257007930802</v>
      </c>
      <c r="AB34" s="87">
        <v>46.5970053214308</v>
      </c>
      <c r="AC34" s="87">
        <v>46.164250218542101</v>
      </c>
      <c r="AD34" s="87">
        <v>45.875270117228702</v>
      </c>
      <c r="AE34" s="87">
        <v>45.6194276151464</v>
      </c>
      <c r="AF34" s="87">
        <v>45.451200591677797</v>
      </c>
      <c r="AG34" s="87">
        <v>44.173085414733997</v>
      </c>
      <c r="AH34" s="87">
        <v>44.197172025904102</v>
      </c>
      <c r="AI34" s="87">
        <v>44.327744227580702</v>
      </c>
      <c r="AJ34" s="87">
        <v>44.244027944510002</v>
      </c>
      <c r="AK34" s="87">
        <v>44.047851183128401</v>
      </c>
      <c r="AL34" s="87">
        <v>44.964396113839399</v>
      </c>
      <c r="AM34" s="87">
        <v>44.5943416061099</v>
      </c>
      <c r="AN34" s="87">
        <v>43.157756546743897</v>
      </c>
      <c r="AO34" s="87">
        <v>43.859927607925897</v>
      </c>
      <c r="AP34" s="87">
        <v>43.977843200827401</v>
      </c>
      <c r="AQ34" s="87">
        <v>43.8561838694486</v>
      </c>
      <c r="AR34" s="87">
        <v>43.705303990649803</v>
      </c>
      <c r="AS34" s="87">
        <v>43.781869962585702</v>
      </c>
      <c r="AT34" s="87">
        <v>42.5985803320185</v>
      </c>
      <c r="AU34" s="87">
        <v>40.486589890239998</v>
      </c>
      <c r="AV34" s="87">
        <v>40.312560295643202</v>
      </c>
      <c r="AW34" s="87">
        <v>39.060934229382298</v>
      </c>
      <c r="AX34" s="87">
        <v>38.938072451438401</v>
      </c>
      <c r="AY34" s="87">
        <v>38.501522697638798</v>
      </c>
      <c r="AZ34" s="87">
        <v>37.598321762299904</v>
      </c>
      <c r="BA34" s="87">
        <v>36.918540942912998</v>
      </c>
      <c r="BB34" s="87">
        <v>35.319679859216201</v>
      </c>
      <c r="BC34" s="87">
        <v>34.8225980984123</v>
      </c>
      <c r="BD34" s="87">
        <v>34.059292731455798</v>
      </c>
      <c r="BE34" s="87">
        <v>33.0150517547631</v>
      </c>
      <c r="BF34" s="87">
        <v>32.056444524763599</v>
      </c>
      <c r="BG34" s="87">
        <v>31.6079845006049</v>
      </c>
      <c r="BH34" s="87">
        <v>30.7531288869829</v>
      </c>
      <c r="BI34" s="87">
        <v>29.994468421143502</v>
      </c>
      <c r="BJ34" s="87">
        <v>29.673245743437199</v>
      </c>
      <c r="BK34" s="87">
        <v>28.485388127457412</v>
      </c>
      <c r="BL34" s="87">
        <v>28.824972132895301</v>
      </c>
      <c r="BM34" s="87">
        <v>28.679675654856698</v>
      </c>
      <c r="BN34" s="87">
        <v>28.753186263727098</v>
      </c>
      <c r="BO34" s="87">
        <v>31.083687029305</v>
      </c>
      <c r="BP34" s="87">
        <v>31.822878853145699</v>
      </c>
      <c r="BQ34" s="87">
        <v>32.343828532382297</v>
      </c>
      <c r="BR34" s="87">
        <v>35.6668455738278</v>
      </c>
      <c r="BS34" s="87">
        <v>36.986953540620298</v>
      </c>
      <c r="BT34" s="87">
        <v>38.284499628367897</v>
      </c>
      <c r="BU34" s="87">
        <v>39.9118695127192</v>
      </c>
      <c r="BV34" s="87">
        <v>40.781483158887497</v>
      </c>
      <c r="BW34" s="87">
        <v>40.920322289315102</v>
      </c>
      <c r="BX34" s="87">
        <v>41.031370441244697</v>
      </c>
      <c r="BY34" s="87">
        <v>41.269037442964702</v>
      </c>
      <c r="BZ34" s="87">
        <v>41.197294283233902</v>
      </c>
      <c r="CA34" s="87">
        <v>40.689056329925101</v>
      </c>
      <c r="CB34" s="87">
        <v>40.8454445686803</v>
      </c>
      <c r="CC34" s="87">
        <v>39.718350897066401</v>
      </c>
      <c r="CD34" s="87">
        <v>38.832460679995201</v>
      </c>
      <c r="CE34" s="87">
        <v>38.993080701795499</v>
      </c>
      <c r="CF34" s="87">
        <v>38.276075921869499</v>
      </c>
      <c r="CG34" s="87">
        <v>37.740356943866502</v>
      </c>
      <c r="CH34" s="87">
        <v>37.557901993929498</v>
      </c>
      <c r="CI34" s="87">
        <v>37.235907006920101</v>
      </c>
      <c r="CJ34" s="87">
        <v>36.332832207476002</v>
      </c>
      <c r="CK34" s="87">
        <v>35.819485736784898</v>
      </c>
      <c r="CL34" s="87">
        <v>35.142616262241297</v>
      </c>
      <c r="CM34" s="87">
        <v>34.082983470971598</v>
      </c>
      <c r="CN34" s="87">
        <v>33.365052686980498</v>
      </c>
      <c r="CO34" s="87">
        <v>32.699285836512502</v>
      </c>
      <c r="CP34" s="87">
        <v>32.0840687856589</v>
      </c>
      <c r="CQ34" s="87">
        <v>31.9242337500133</v>
      </c>
      <c r="CR34" s="87">
        <v>31.325481922948001</v>
      </c>
      <c r="CS34" s="87">
        <v>30.067062283424601</v>
      </c>
      <c r="CT34" s="87">
        <v>30.2659460998035</v>
      </c>
      <c r="CU34" s="87">
        <v>29.492409134861401</v>
      </c>
      <c r="CV34" s="87">
        <v>28.212435509011598</v>
      </c>
      <c r="CW34" s="87">
        <v>27.8615070977005</v>
      </c>
      <c r="CX34" s="87">
        <v>27.146490185932301</v>
      </c>
      <c r="CY34" s="87">
        <v>26.6776084688534</v>
      </c>
      <c r="CZ34" s="87">
        <v>25.534074056464299</v>
      </c>
      <c r="DA34" s="87">
        <v>24.737352232027298</v>
      </c>
      <c r="DB34" s="87">
        <v>24.360329724266901</v>
      </c>
      <c r="DC34" s="87">
        <v>23.790173896831799</v>
      </c>
      <c r="DD34" s="87">
        <v>23.293161883583998</v>
      </c>
      <c r="DE34" s="87">
        <v>10.135935245627801</v>
      </c>
      <c r="DF34" s="87">
        <v>10.0677366804416</v>
      </c>
      <c r="DG34" s="87">
        <v>9.8207886889146305</v>
      </c>
    </row>
    <row r="35" spans="1:111" s="40" customFormat="1" x14ac:dyDescent="0.3">
      <c r="A35" s="91" t="s">
        <v>12</v>
      </c>
      <c r="B35" s="92"/>
      <c r="C35" s="93"/>
      <c r="D35" s="92"/>
      <c r="E35" s="92"/>
      <c r="F35" s="92"/>
      <c r="G35" s="92"/>
      <c r="H35" s="92"/>
      <c r="I35" s="92"/>
      <c r="J35" s="37"/>
      <c r="K35" s="37"/>
      <c r="L35" s="92"/>
      <c r="M35" s="92"/>
      <c r="N35" s="37"/>
      <c r="O35" s="94"/>
      <c r="P35" s="94"/>
      <c r="Q35" s="92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4"/>
      <c r="CH35" s="94"/>
      <c r="CI35" s="94"/>
      <c r="CJ35" s="94"/>
      <c r="CK35" s="94"/>
      <c r="CL35" s="94"/>
      <c r="CM35" s="94"/>
      <c r="CN35" s="94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</row>
    <row r="36" spans="1:111" s="40" customFormat="1" x14ac:dyDescent="0.3">
      <c r="A36" s="95" t="s">
        <v>13</v>
      </c>
      <c r="B36" s="92">
        <f t="shared" ref="B36:I41" si="9">IFERROR(100*(B28/B20),0)</f>
        <v>75.656896807440276</v>
      </c>
      <c r="C36" s="96">
        <f t="shared" si="9"/>
        <v>67.168333817095132</v>
      </c>
      <c r="D36" s="92">
        <f t="shared" si="9"/>
        <v>66.79576102876986</v>
      </c>
      <c r="E36" s="92">
        <f t="shared" si="9"/>
        <v>69.368832705554098</v>
      </c>
      <c r="F36" s="92">
        <f t="shared" si="9"/>
        <v>69.796075345574664</v>
      </c>
      <c r="G36" s="92">
        <f t="shared" si="9"/>
        <v>72.243822893738567</v>
      </c>
      <c r="H36" s="92">
        <f t="shared" si="9"/>
        <v>72.275593160572555</v>
      </c>
      <c r="I36" s="92">
        <f t="shared" si="9"/>
        <v>71.171146467181558</v>
      </c>
      <c r="J36" s="37">
        <v>70.914753474315859</v>
      </c>
      <c r="K36" s="37">
        <v>71.016848162764802</v>
      </c>
      <c r="L36" s="37">
        <v>70.818394536077506</v>
      </c>
      <c r="M36" s="92">
        <v>72.168847688244895</v>
      </c>
      <c r="N36" s="94">
        <v>72.409980475902103</v>
      </c>
      <c r="O36" s="92">
        <v>72.230084204290705</v>
      </c>
      <c r="P36" s="92">
        <v>72.202535964154094</v>
      </c>
      <c r="Q36" s="94">
        <v>72.421843540511702</v>
      </c>
      <c r="R36" s="37">
        <v>72.328761485962005</v>
      </c>
      <c r="S36" s="37">
        <v>71.874498599997395</v>
      </c>
      <c r="T36" s="37">
        <v>71.395538026851199</v>
      </c>
      <c r="U36" s="37">
        <v>70.805047780925193</v>
      </c>
      <c r="V36" s="37">
        <v>70.131110350073797</v>
      </c>
      <c r="W36" s="37">
        <v>69.423331483454504</v>
      </c>
      <c r="X36" s="37">
        <v>68.728070830211195</v>
      </c>
      <c r="Y36" s="37">
        <v>68.823777107535705</v>
      </c>
      <c r="Z36" s="37">
        <v>68.560877613490405</v>
      </c>
      <c r="AA36" s="37">
        <v>67.701300431269701</v>
      </c>
      <c r="AB36" s="37">
        <v>67.766138826034194</v>
      </c>
      <c r="AC36" s="37">
        <v>67.944387022539601</v>
      </c>
      <c r="AD36" s="37">
        <v>67.403237344727899</v>
      </c>
      <c r="AE36" s="37">
        <v>66.588666264559293</v>
      </c>
      <c r="AF36" s="37">
        <v>66.393941025338904</v>
      </c>
      <c r="AG36" s="37">
        <v>64.839927786805603</v>
      </c>
      <c r="AH36" s="37">
        <v>64.360856389821095</v>
      </c>
      <c r="AI36" s="37">
        <v>64.543357763846004</v>
      </c>
      <c r="AJ36" s="37">
        <v>64.557899193099502</v>
      </c>
      <c r="AK36" s="37">
        <v>64.549665165046093</v>
      </c>
      <c r="AL36" s="37">
        <v>64.853078415884696</v>
      </c>
      <c r="AM36" s="37">
        <v>64.951532297873797</v>
      </c>
      <c r="AN36" s="37">
        <v>64.587843900544399</v>
      </c>
      <c r="AO36" s="37">
        <v>65.085542635935795</v>
      </c>
      <c r="AP36" s="37">
        <v>64.735394945906194</v>
      </c>
      <c r="AQ36" s="37">
        <v>64.560905028034398</v>
      </c>
      <c r="AR36" s="37">
        <v>65.328660762188406</v>
      </c>
      <c r="AS36" s="37">
        <v>66.285627712469406</v>
      </c>
      <c r="AT36" s="37">
        <v>65.616245013069602</v>
      </c>
      <c r="AU36" s="37">
        <v>63.527942919943698</v>
      </c>
      <c r="AV36" s="37">
        <v>64.001883720606699</v>
      </c>
      <c r="AW36" s="37">
        <v>63.080293088053203</v>
      </c>
      <c r="AX36" s="37">
        <v>62.158212641831099</v>
      </c>
      <c r="AY36" s="37">
        <v>62.089255162438597</v>
      </c>
      <c r="AZ36" s="37">
        <v>61.1390816028972</v>
      </c>
      <c r="BA36" s="37">
        <v>60.734546388241696</v>
      </c>
      <c r="BB36" s="37">
        <v>58.834737800377901</v>
      </c>
      <c r="BC36" s="37">
        <v>58.671642370730503</v>
      </c>
      <c r="BD36" s="37">
        <v>58.129444700512302</v>
      </c>
      <c r="BE36" s="37">
        <v>56.624960266423798</v>
      </c>
      <c r="BF36" s="37">
        <v>56.024310638702502</v>
      </c>
      <c r="BG36" s="37">
        <v>55.8258619757529</v>
      </c>
      <c r="BH36" s="37">
        <v>54.826942134099497</v>
      </c>
      <c r="BI36" s="37">
        <v>53.030065946588103</v>
      </c>
      <c r="BJ36" s="37">
        <v>52.613361709013198</v>
      </c>
      <c r="BK36" s="37">
        <v>51.59211700997318</v>
      </c>
      <c r="BL36" s="37">
        <v>50.970253956007497</v>
      </c>
      <c r="BM36" s="37">
        <v>49.213565616038998</v>
      </c>
      <c r="BN36" s="37">
        <v>48.195190757820598</v>
      </c>
      <c r="BO36" s="37">
        <v>50.206339461632602</v>
      </c>
      <c r="BP36" s="37">
        <v>50.245399830683802</v>
      </c>
      <c r="BQ36" s="37">
        <v>50.240637402846701</v>
      </c>
      <c r="BR36" s="37">
        <v>52.405999513114097</v>
      </c>
      <c r="BS36" s="37">
        <v>53.022464912350799</v>
      </c>
      <c r="BT36" s="37">
        <v>53.799549604162003</v>
      </c>
      <c r="BU36" s="37">
        <v>54.863651949441099</v>
      </c>
      <c r="BV36" s="37">
        <v>55.112417548954703</v>
      </c>
      <c r="BW36" s="37">
        <v>55.498603432373798</v>
      </c>
      <c r="BX36" s="37">
        <v>55.699007738917203</v>
      </c>
      <c r="BY36" s="37">
        <v>55.774920823364297</v>
      </c>
      <c r="BZ36" s="37">
        <v>55.533254602349601</v>
      </c>
      <c r="CA36" s="37">
        <v>54.956367245864499</v>
      </c>
      <c r="CB36" s="37">
        <v>53.898064098649897</v>
      </c>
      <c r="CC36" s="37">
        <v>52.491042037919499</v>
      </c>
      <c r="CD36" s="37">
        <v>51.8484171570557</v>
      </c>
      <c r="CE36" s="37">
        <v>51.838618085820002</v>
      </c>
      <c r="CF36" s="37">
        <v>51.128957190354001</v>
      </c>
      <c r="CG36" s="37">
        <v>51.404856523050597</v>
      </c>
      <c r="CH36" s="37">
        <v>51.193764063564402</v>
      </c>
      <c r="CI36" s="37">
        <v>51.074902360303398</v>
      </c>
      <c r="CJ36" s="37">
        <v>50.234017757189598</v>
      </c>
      <c r="CK36" s="37">
        <v>49.788831077718797</v>
      </c>
      <c r="CL36" s="37">
        <v>49.418120531357502</v>
      </c>
      <c r="CM36" s="37">
        <v>48.579565031939502</v>
      </c>
      <c r="CN36" s="37">
        <v>47.920571729089197</v>
      </c>
      <c r="CO36" s="37">
        <v>47.1761358440449</v>
      </c>
      <c r="CP36" s="37">
        <v>46.560189143407399</v>
      </c>
      <c r="CQ36" s="37">
        <v>46.321170939701901</v>
      </c>
      <c r="CR36" s="37">
        <v>45.665620891468201</v>
      </c>
      <c r="CS36" s="37">
        <v>43.825675666503599</v>
      </c>
      <c r="CT36" s="37">
        <v>44.461094511565598</v>
      </c>
      <c r="CU36" s="37">
        <v>44.077041670797399</v>
      </c>
      <c r="CV36" s="37">
        <v>42.684263090223801</v>
      </c>
      <c r="CW36" s="37">
        <v>42.2157568237999</v>
      </c>
      <c r="CX36" s="37">
        <v>41.502532589474797</v>
      </c>
      <c r="CY36" s="37">
        <v>40.715571530164198</v>
      </c>
      <c r="CZ36" s="37">
        <v>39.054439988036997</v>
      </c>
      <c r="DA36" s="37">
        <v>38.297731555968603</v>
      </c>
      <c r="DB36" s="37">
        <v>37.673848794153002</v>
      </c>
      <c r="DC36" s="37">
        <v>37.207791425129301</v>
      </c>
      <c r="DD36" s="37">
        <v>36.582612362743603</v>
      </c>
      <c r="DE36" s="37">
        <v>14.1499318674144</v>
      </c>
      <c r="DF36" s="37">
        <v>14.045354251526801</v>
      </c>
      <c r="DG36" s="37">
        <v>13.7842049060338</v>
      </c>
    </row>
    <row r="37" spans="1:111" s="40" customFormat="1" x14ac:dyDescent="0.3">
      <c r="A37" s="91" t="s">
        <v>14</v>
      </c>
      <c r="B37" s="92">
        <f t="shared" si="9"/>
        <v>80.618050211072514</v>
      </c>
      <c r="C37" s="96">
        <f t="shared" si="9"/>
        <v>77.545667481963193</v>
      </c>
      <c r="D37" s="92">
        <f t="shared" si="9"/>
        <v>77.107657638592613</v>
      </c>
      <c r="E37" s="92">
        <f t="shared" si="9"/>
        <v>80.395127314343569</v>
      </c>
      <c r="F37" s="92">
        <f t="shared" si="9"/>
        <v>80.395127314343569</v>
      </c>
      <c r="G37" s="92">
        <f t="shared" si="9"/>
        <v>86.730213113466021</v>
      </c>
      <c r="H37" s="92">
        <f t="shared" si="9"/>
        <v>86.084225274949887</v>
      </c>
      <c r="I37" s="92">
        <f t="shared" si="9"/>
        <v>85.370281468990925</v>
      </c>
      <c r="J37" s="37">
        <v>84.814399435323168</v>
      </c>
      <c r="K37" s="37">
        <v>84.883050986706095</v>
      </c>
      <c r="L37" s="97">
        <v>84.297313694405204</v>
      </c>
      <c r="M37" s="92">
        <v>85.109553185049606</v>
      </c>
      <c r="N37" s="37">
        <v>84.370153825952698</v>
      </c>
      <c r="O37" s="94">
        <v>84.060256019453703</v>
      </c>
      <c r="P37" s="37">
        <v>83.077158102109294</v>
      </c>
      <c r="Q37" s="94">
        <v>82.751361073124698</v>
      </c>
      <c r="R37" s="94">
        <v>82.221124724266502</v>
      </c>
      <c r="S37" s="94">
        <v>82.088877426954198</v>
      </c>
      <c r="T37" s="94">
        <v>81.7177293575227</v>
      </c>
      <c r="U37" s="94">
        <v>80.993395832608201</v>
      </c>
      <c r="V37" s="94">
        <v>80.618741450974099</v>
      </c>
      <c r="W37" s="94">
        <v>80.123433133638002</v>
      </c>
      <c r="X37" s="94">
        <v>79.824290358750702</v>
      </c>
      <c r="Y37" s="94">
        <v>80.036231059352204</v>
      </c>
      <c r="Z37" s="94">
        <v>79.604302670995096</v>
      </c>
      <c r="AA37" s="94">
        <v>79.319398592212593</v>
      </c>
      <c r="AB37" s="94">
        <v>78.914640618258602</v>
      </c>
      <c r="AC37" s="94">
        <v>78.774384718417394</v>
      </c>
      <c r="AD37" s="94">
        <v>78.259646725435303</v>
      </c>
      <c r="AE37" s="94">
        <v>78.133077695308103</v>
      </c>
      <c r="AF37" s="94">
        <v>78.003505738210194</v>
      </c>
      <c r="AG37" s="94">
        <v>77.621348203078796</v>
      </c>
      <c r="AH37" s="94">
        <v>77.509613345743603</v>
      </c>
      <c r="AI37" s="94">
        <v>77.308746289236694</v>
      </c>
      <c r="AJ37" s="94">
        <v>77.146163540720394</v>
      </c>
      <c r="AK37" s="94">
        <v>77.124639390713199</v>
      </c>
      <c r="AL37" s="94">
        <v>77.093528052331294</v>
      </c>
      <c r="AM37" s="94">
        <v>76.892272028779203</v>
      </c>
      <c r="AN37" s="94">
        <v>76.686518466094199</v>
      </c>
      <c r="AO37" s="94">
        <v>77.615767681527302</v>
      </c>
      <c r="AP37" s="94">
        <v>77.781589707356702</v>
      </c>
      <c r="AQ37" s="94">
        <v>77.894054138815306</v>
      </c>
      <c r="AR37" s="94">
        <v>78.188518140266396</v>
      </c>
      <c r="AS37" s="94">
        <v>77.948488192547899</v>
      </c>
      <c r="AT37" s="94">
        <v>77.629189854794404</v>
      </c>
      <c r="AU37" s="94">
        <v>76.0931383408969</v>
      </c>
      <c r="AV37" s="94">
        <v>75.825374813480195</v>
      </c>
      <c r="AW37" s="94">
        <v>75.519035048060104</v>
      </c>
      <c r="AX37" s="94">
        <v>75.392945577827305</v>
      </c>
      <c r="AY37" s="94">
        <v>75.081252213278901</v>
      </c>
      <c r="AZ37" s="94">
        <v>73.956599635449393</v>
      </c>
      <c r="BA37" s="94">
        <v>73.627345199482207</v>
      </c>
      <c r="BB37" s="94">
        <v>72.999196800972499</v>
      </c>
      <c r="BC37" s="94">
        <v>72.500809455635107</v>
      </c>
      <c r="BD37" s="94">
        <v>72.274517646562202</v>
      </c>
      <c r="BE37" s="94">
        <v>71.6488668768162</v>
      </c>
      <c r="BF37" s="94">
        <v>71.281578589777794</v>
      </c>
      <c r="BG37" s="94">
        <v>71.179341286663004</v>
      </c>
      <c r="BH37" s="94">
        <v>70.437928896014796</v>
      </c>
      <c r="BI37" s="94">
        <v>69.952278840826594</v>
      </c>
      <c r="BJ37" s="94">
        <v>68.901706223407601</v>
      </c>
      <c r="BK37" s="94">
        <v>67.849473058751514</v>
      </c>
      <c r="BL37" s="94">
        <v>67.913068470820605</v>
      </c>
      <c r="BM37" s="94">
        <v>66.592633208013197</v>
      </c>
      <c r="BN37" s="94">
        <v>65.839553638472907</v>
      </c>
      <c r="BO37" s="94">
        <v>66.092304374419101</v>
      </c>
      <c r="BP37" s="94">
        <v>66.467948467295599</v>
      </c>
      <c r="BQ37" s="94">
        <v>66.667585801768396</v>
      </c>
      <c r="BR37" s="94">
        <v>69.802022686000299</v>
      </c>
      <c r="BS37" s="94">
        <v>70.487089696534596</v>
      </c>
      <c r="BT37" s="94">
        <v>70.388368123805506</v>
      </c>
      <c r="BU37" s="94">
        <v>69.860396287436103</v>
      </c>
      <c r="BV37" s="94">
        <v>69.502913142023601</v>
      </c>
      <c r="BW37" s="94">
        <v>69.548165946226405</v>
      </c>
      <c r="BX37" s="94">
        <v>69.538047467208301</v>
      </c>
      <c r="BY37" s="94">
        <v>69.103619259210106</v>
      </c>
      <c r="BZ37" s="94">
        <v>68.308699693943296</v>
      </c>
      <c r="CA37" s="94">
        <v>67.226786890067601</v>
      </c>
      <c r="CB37" s="94">
        <v>66.064313880012804</v>
      </c>
      <c r="CC37" s="94">
        <v>64.738607376708799</v>
      </c>
      <c r="CD37" s="94">
        <v>63.826499863337602</v>
      </c>
      <c r="CE37" s="94">
        <v>63.421736285806602</v>
      </c>
      <c r="CF37" s="94">
        <v>62.612329044445602</v>
      </c>
      <c r="CG37" s="94">
        <v>63.486401056633198</v>
      </c>
      <c r="CH37" s="94">
        <v>63.422803019575198</v>
      </c>
      <c r="CI37" s="94">
        <v>63.6601791520022</v>
      </c>
      <c r="CJ37" s="94">
        <v>63.122418160341297</v>
      </c>
      <c r="CK37" s="94">
        <v>62.101941461238297</v>
      </c>
      <c r="CL37" s="94">
        <v>61.5865383925278</v>
      </c>
      <c r="CM37" s="94">
        <v>61.058264853876999</v>
      </c>
      <c r="CN37" s="94">
        <v>60.617875246669001</v>
      </c>
      <c r="CO37" s="94">
        <v>59.695167022701902</v>
      </c>
      <c r="CP37" s="94">
        <v>59.464914724045698</v>
      </c>
      <c r="CQ37" s="94">
        <v>59.1190959502838</v>
      </c>
      <c r="CR37" s="94">
        <v>58.677752933896798</v>
      </c>
      <c r="CS37" s="94">
        <v>57.567602805621597</v>
      </c>
      <c r="CT37" s="94">
        <v>57.375654350102401</v>
      </c>
      <c r="CU37" s="94">
        <v>57.388561415418799</v>
      </c>
      <c r="CV37" s="94">
        <v>56.573918415364403</v>
      </c>
      <c r="CW37" s="94">
        <v>55.928420744801002</v>
      </c>
      <c r="CX37" s="94">
        <v>55.081618883595098</v>
      </c>
      <c r="CY37" s="94">
        <v>54.440705348090098</v>
      </c>
      <c r="CZ37" s="94">
        <v>53.025369387195099</v>
      </c>
      <c r="DA37" s="94">
        <v>52.041354203692798</v>
      </c>
      <c r="DB37" s="94">
        <v>51.653924917302902</v>
      </c>
      <c r="DC37" s="94">
        <v>51.323036891814901</v>
      </c>
      <c r="DD37" s="94">
        <v>50.587686783721601</v>
      </c>
      <c r="DE37" s="94">
        <v>7.1277138859774603</v>
      </c>
      <c r="DF37" s="94">
        <v>7.0725463612525399</v>
      </c>
      <c r="DG37" s="94">
        <v>6.9022383946924597</v>
      </c>
    </row>
    <row r="38" spans="1:111" s="40" customFormat="1" x14ac:dyDescent="0.3">
      <c r="A38" s="38" t="s">
        <v>15</v>
      </c>
      <c r="B38" s="92">
        <f t="shared" si="9"/>
        <v>21.416360269827628</v>
      </c>
      <c r="C38" s="96">
        <f t="shared" si="9"/>
        <v>46.551597731529135</v>
      </c>
      <c r="D38" s="92">
        <f t="shared" si="9"/>
        <v>46.215925007965858</v>
      </c>
      <c r="E38" s="92">
        <f t="shared" si="9"/>
        <v>47.157703621176204</v>
      </c>
      <c r="F38" s="92">
        <f t="shared" si="9"/>
        <v>48.172009504421958</v>
      </c>
      <c r="G38" s="92">
        <f t="shared" si="9"/>
        <v>44.590180003807532</v>
      </c>
      <c r="H38" s="92">
        <f t="shared" si="9"/>
        <v>47.114561579468756</v>
      </c>
      <c r="I38" s="92">
        <f t="shared" si="9"/>
        <v>45.722490808140051</v>
      </c>
      <c r="J38" s="37">
        <v>45.961718597485287</v>
      </c>
      <c r="K38" s="37">
        <v>46.06434331105747</v>
      </c>
      <c r="L38" s="37">
        <v>46.263015840759117</v>
      </c>
      <c r="M38" s="92">
        <v>46.575594133726412</v>
      </c>
      <c r="N38" s="94">
        <v>49.03690306763211</v>
      </c>
      <c r="O38" s="92">
        <v>49.336830006025743</v>
      </c>
      <c r="P38" s="94">
        <v>51.991099542193844</v>
      </c>
      <c r="Q38" s="92">
        <v>53.013057968973101</v>
      </c>
      <c r="R38" s="92">
        <v>53.440033365791379</v>
      </c>
      <c r="S38" s="92">
        <v>52.465560324798993</v>
      </c>
      <c r="T38" s="92">
        <v>51.957342160395967</v>
      </c>
      <c r="U38" s="92">
        <v>51.640101037837425</v>
      </c>
      <c r="V38" s="92">
        <v>50.703113190189768</v>
      </c>
      <c r="W38" s="92">
        <v>49.627110221436396</v>
      </c>
      <c r="X38" s="92">
        <v>48.572144207770599</v>
      </c>
      <c r="Y38" s="92">
        <v>48.730159773602956</v>
      </c>
      <c r="Z38" s="92">
        <v>47.601277038216537</v>
      </c>
      <c r="AA38" s="92">
        <v>45.727844835467991</v>
      </c>
      <c r="AB38" s="92">
        <v>46.223345982570585</v>
      </c>
      <c r="AC38" s="92">
        <v>46.833831932536086</v>
      </c>
      <c r="AD38" s="92">
        <v>46.203400266958297</v>
      </c>
      <c r="AE38" s="92">
        <v>45.255480670278573</v>
      </c>
      <c r="AF38" s="92">
        <v>45.226273596450227</v>
      </c>
      <c r="AG38" s="92">
        <v>41.730624270349054</v>
      </c>
      <c r="AH38" s="92">
        <v>40.892210837567198</v>
      </c>
      <c r="AI38" s="92">
        <v>42.09180683033351</v>
      </c>
      <c r="AJ38" s="92">
        <v>42.245335671309014</v>
      </c>
      <c r="AK38" s="92">
        <v>41.7407337460413</v>
      </c>
      <c r="AL38" s="92">
        <v>42.326906342276764</v>
      </c>
      <c r="AM38" s="92">
        <v>42.757072024949757</v>
      </c>
      <c r="AN38" s="92">
        <v>42.261322803063202</v>
      </c>
      <c r="AO38" s="92">
        <v>41.894422855582995</v>
      </c>
      <c r="AP38" s="92">
        <v>40.40586352015179</v>
      </c>
      <c r="AQ38" s="92">
        <v>39.756331794985435</v>
      </c>
      <c r="AR38" s="92">
        <v>40.881547791718717</v>
      </c>
      <c r="AS38" s="92">
        <v>42.974057105355328</v>
      </c>
      <c r="AT38" s="92">
        <v>42.916395758299274</v>
      </c>
      <c r="AU38" s="92">
        <v>41.986372449473059</v>
      </c>
      <c r="AV38" s="92">
        <v>43.597673611480268</v>
      </c>
      <c r="AW38" s="92">
        <v>42.913020184443106</v>
      </c>
      <c r="AX38" s="92">
        <v>41.568231820446663</v>
      </c>
      <c r="AY38" s="92">
        <v>41.794217779051998</v>
      </c>
      <c r="AZ38" s="92">
        <v>41.32788446124421</v>
      </c>
      <c r="BA38" s="92">
        <v>40.753444127953593</v>
      </c>
      <c r="BB38" s="92">
        <v>37.313349689556915</v>
      </c>
      <c r="BC38" s="92">
        <v>38.581101897388365</v>
      </c>
      <c r="BD38" s="92">
        <v>37.595327373822542</v>
      </c>
      <c r="BE38" s="92">
        <v>35.621295435845653</v>
      </c>
      <c r="BF38" s="92">
        <v>35.095266736937219</v>
      </c>
      <c r="BG38" s="92">
        <v>34.892467501390634</v>
      </c>
      <c r="BH38" s="92">
        <v>34.047394962085576</v>
      </c>
      <c r="BI38" s="92">
        <v>30.299781366795216</v>
      </c>
      <c r="BJ38" s="92">
        <v>30.409408394881396</v>
      </c>
      <c r="BK38" s="92">
        <v>29.683982106119387</v>
      </c>
      <c r="BL38" s="92">
        <v>29.079708408199323</v>
      </c>
      <c r="BM38" s="92">
        <v>27.591053443193111</v>
      </c>
      <c r="BN38" s="92">
        <v>27.200182556759</v>
      </c>
      <c r="BO38" s="92">
        <v>31.805991536107793</v>
      </c>
      <c r="BP38" s="92">
        <v>31.93986158183051</v>
      </c>
      <c r="BQ38" s="92">
        <v>31.82677540002145</v>
      </c>
      <c r="BR38" s="92">
        <v>32.926087730899667</v>
      </c>
      <c r="BS38" s="92">
        <v>33.440051203548371</v>
      </c>
      <c r="BT38" s="92">
        <v>35.096292458719034</v>
      </c>
      <c r="BU38" s="92">
        <v>37.547787290628264</v>
      </c>
      <c r="BV38" s="92">
        <v>38.186657210156042</v>
      </c>
      <c r="BW38" s="92">
        <v>38.804595872020251</v>
      </c>
      <c r="BX38" s="92">
        <v>38.9209501753651</v>
      </c>
      <c r="BY38" s="92">
        <v>39.346797269868979</v>
      </c>
      <c r="BZ38" s="92">
        <v>39.270363074423933</v>
      </c>
      <c r="CA38" s="92">
        <v>39.110007527499704</v>
      </c>
      <c r="CB38" s="92">
        <v>39.824932953983421</v>
      </c>
      <c r="CC38" s="92">
        <v>38.124727480980724</v>
      </c>
      <c r="CD38" s="92">
        <v>37.777452380863728</v>
      </c>
      <c r="CE38" s="92">
        <v>38.191784297880055</v>
      </c>
      <c r="CF38" s="92">
        <v>37.572100107719081</v>
      </c>
      <c r="CG38" s="92">
        <v>37.506308795465337</v>
      </c>
      <c r="CH38" s="92">
        <v>37.209088653876911</v>
      </c>
      <c r="CI38" s="92">
        <v>36.793332443605429</v>
      </c>
      <c r="CJ38" s="92">
        <v>35.865329847770532</v>
      </c>
      <c r="CK38" s="92">
        <v>35.939507403943402</v>
      </c>
      <c r="CL38" s="92">
        <v>35.708312581345453</v>
      </c>
      <c r="CM38" s="92">
        <v>34.707711352463193</v>
      </c>
      <c r="CN38" s="95">
        <v>33.861356022848078</v>
      </c>
      <c r="CO38" s="95">
        <v>33.517481220466216</v>
      </c>
      <c r="CP38" s="95">
        <v>32.711818995161309</v>
      </c>
      <c r="CQ38" s="95">
        <v>32.550846191340952</v>
      </c>
      <c r="CR38" s="95">
        <v>31.85164893015147</v>
      </c>
      <c r="CS38" s="95">
        <v>29.575580432984285</v>
      </c>
      <c r="CT38" s="95">
        <v>31.231755824665125</v>
      </c>
      <c r="CU38" s="95">
        <v>30.706868060228246</v>
      </c>
      <c r="CV38" s="95">
        <v>28.724122287082498</v>
      </c>
      <c r="CW38" s="95">
        <v>28.411864355818583</v>
      </c>
      <c r="CX38" s="95">
        <v>27.839991784651428</v>
      </c>
      <c r="CY38" s="95">
        <v>27.18648218746144</v>
      </c>
      <c r="CZ38" s="95">
        <v>24.973701262440752</v>
      </c>
      <c r="DA38" s="95">
        <v>24.480077624002334</v>
      </c>
      <c r="DB38" s="95">
        <v>23.731206220217043</v>
      </c>
      <c r="DC38" s="95">
        <v>23.185495357193368</v>
      </c>
      <c r="DD38" s="95">
        <v>22.770763473396741</v>
      </c>
      <c r="DE38" s="95">
        <v>18.286886201226274</v>
      </c>
      <c r="DF38" s="95">
        <v>18.235088556201163</v>
      </c>
      <c r="DG38" s="95">
        <v>17.929891698749699</v>
      </c>
    </row>
    <row r="39" spans="1:111" s="40" customFormat="1" x14ac:dyDescent="0.3">
      <c r="A39" s="38" t="s">
        <v>16</v>
      </c>
      <c r="B39" s="92">
        <f t="shared" si="9"/>
        <v>22.341681174533644</v>
      </c>
      <c r="C39" s="96">
        <f t="shared" si="9"/>
        <v>24.109785739281591</v>
      </c>
      <c r="D39" s="92">
        <f t="shared" si="9"/>
        <v>22.425251563228478</v>
      </c>
      <c r="E39" s="92">
        <f t="shared" si="9"/>
        <v>22.052617262237277</v>
      </c>
      <c r="F39" s="92">
        <f t="shared" si="9"/>
        <v>22.908972815352495</v>
      </c>
      <c r="G39" s="92">
        <f t="shared" si="9"/>
        <v>24.392099435473249</v>
      </c>
      <c r="H39" s="92">
        <f t="shared" si="9"/>
        <v>24.477186195953031</v>
      </c>
      <c r="I39" s="92">
        <f t="shared" si="9"/>
        <v>23.233416526697138</v>
      </c>
      <c r="J39" s="37">
        <v>22.966877345718505</v>
      </c>
      <c r="K39" s="37">
        <v>22.1735323011203</v>
      </c>
      <c r="L39" s="37">
        <v>21.2858215027962</v>
      </c>
      <c r="M39" s="92">
        <v>21.00556718116</v>
      </c>
      <c r="N39" s="37">
        <v>23.0858021092737</v>
      </c>
      <c r="O39" s="94">
        <v>23.046342432073299</v>
      </c>
      <c r="P39" s="37">
        <v>22.352515545332999</v>
      </c>
      <c r="Q39" s="94">
        <v>21.792207763519698</v>
      </c>
      <c r="R39" s="94">
        <v>21.423287708185899</v>
      </c>
      <c r="S39" s="94">
        <v>20.609799442605102</v>
      </c>
      <c r="T39" s="94">
        <v>20.320674566527</v>
      </c>
      <c r="U39" s="94">
        <v>19.614805389398299</v>
      </c>
      <c r="V39" s="94">
        <v>19.444088989173999</v>
      </c>
      <c r="W39" s="94">
        <v>19.4138788917084</v>
      </c>
      <c r="X39" s="94">
        <v>17.714944977445299</v>
      </c>
      <c r="Y39" s="94">
        <v>17.205203004263101</v>
      </c>
      <c r="Z39" s="94">
        <v>17.527204991616401</v>
      </c>
      <c r="AA39" s="94">
        <v>17.0374087899012</v>
      </c>
      <c r="AB39" s="94">
        <v>16.4448111464364</v>
      </c>
      <c r="AC39" s="94">
        <v>15.370963234115999</v>
      </c>
      <c r="AD39" s="94">
        <v>15.362315605692601</v>
      </c>
      <c r="AE39" s="94">
        <v>15.348945247796101</v>
      </c>
      <c r="AF39" s="94">
        <v>15.3599636466192</v>
      </c>
      <c r="AG39" s="94">
        <v>14.338175676518</v>
      </c>
      <c r="AH39" s="94">
        <v>14.8330149773444</v>
      </c>
      <c r="AI39" s="94">
        <v>14.658783467859401</v>
      </c>
      <c r="AJ39" s="94">
        <v>14.9283072986926</v>
      </c>
      <c r="AK39" s="94">
        <v>13.8157193916152</v>
      </c>
      <c r="AL39" s="94">
        <v>14.523691895548099</v>
      </c>
      <c r="AM39" s="94">
        <v>13.9794743143538</v>
      </c>
      <c r="AN39" s="94">
        <v>12.6408526825742</v>
      </c>
      <c r="AO39" s="94">
        <v>13.0809212087783</v>
      </c>
      <c r="AP39" s="94">
        <v>13.4618592301237</v>
      </c>
      <c r="AQ39" s="94">
        <v>13.8509564784479</v>
      </c>
      <c r="AR39" s="94">
        <v>13.424666971927699</v>
      </c>
      <c r="AS39" s="94">
        <v>13.2828630492002</v>
      </c>
      <c r="AT39" s="94">
        <v>11.9458515863701</v>
      </c>
      <c r="AU39" s="94">
        <v>11.4854984913175</v>
      </c>
      <c r="AV39" s="94">
        <v>11.1055082271412</v>
      </c>
      <c r="AW39" s="94">
        <v>9.9009860008657693</v>
      </c>
      <c r="AX39" s="94">
        <v>10.4025139589675</v>
      </c>
      <c r="AY39" s="94">
        <v>10.277774503143499</v>
      </c>
      <c r="AZ39" s="94">
        <v>10.0947351897457</v>
      </c>
      <c r="BA39" s="94">
        <v>10.034777714733201</v>
      </c>
      <c r="BB39" s="94">
        <v>9.3564633516157105</v>
      </c>
      <c r="BC39" s="94">
        <v>8.8113728976577601</v>
      </c>
      <c r="BD39" s="94">
        <v>8.5903576656586207</v>
      </c>
      <c r="BE39" s="94">
        <v>8.2372793155601904</v>
      </c>
      <c r="BF39" s="94">
        <v>7.6848667804749899</v>
      </c>
      <c r="BG39" s="94">
        <v>7.4762431446423099</v>
      </c>
      <c r="BH39" s="94">
        <v>7.0225760953936902</v>
      </c>
      <c r="BI39" s="94">
        <v>7.0403559067974903</v>
      </c>
      <c r="BJ39" s="94">
        <v>7.0833156960530301</v>
      </c>
      <c r="BK39" s="94">
        <v>5.0899631676590777</v>
      </c>
      <c r="BL39" s="94">
        <v>3.98220901439577</v>
      </c>
      <c r="BM39" s="94">
        <v>4.2521227959057697</v>
      </c>
      <c r="BN39" s="94">
        <v>4.7748189374496404</v>
      </c>
      <c r="BO39" s="94">
        <v>7.0334016199522802</v>
      </c>
      <c r="BP39" s="94">
        <v>8.2420818650907908</v>
      </c>
      <c r="BQ39" s="94">
        <v>9.2870385072038708</v>
      </c>
      <c r="BR39" s="94">
        <v>12.778764666791499</v>
      </c>
      <c r="BS39" s="94">
        <v>14.573392184305099</v>
      </c>
      <c r="BT39" s="94">
        <v>15.792098919966501</v>
      </c>
      <c r="BU39" s="94">
        <v>17.070037340535201</v>
      </c>
      <c r="BV39" s="94">
        <v>19.214995825890799</v>
      </c>
      <c r="BW39" s="94">
        <v>18.992692989932301</v>
      </c>
      <c r="BX39" s="94">
        <v>19.2083378638998</v>
      </c>
      <c r="BY39" s="94">
        <v>19.3178273720976</v>
      </c>
      <c r="BZ39" s="94">
        <v>19.642104487859999</v>
      </c>
      <c r="CA39" s="94">
        <v>19.8544765691348</v>
      </c>
      <c r="CB39" s="94">
        <v>16.7005196873383</v>
      </c>
      <c r="CC39" s="94">
        <v>16.492937547311101</v>
      </c>
      <c r="CD39" s="94">
        <v>15.8650988205034</v>
      </c>
      <c r="CE39" s="94">
        <v>16.440594552868401</v>
      </c>
      <c r="CF39" s="94">
        <v>16.6061559789764</v>
      </c>
      <c r="CG39" s="94">
        <v>14.8221037200623</v>
      </c>
      <c r="CH39" s="94">
        <v>14.8590735030813</v>
      </c>
      <c r="CI39" s="94">
        <v>14.326078717687</v>
      </c>
      <c r="CJ39" s="94">
        <v>13.914466220623501</v>
      </c>
      <c r="CK39" s="94">
        <v>13.394918113208099</v>
      </c>
      <c r="CL39" s="94">
        <v>12.6337314904564</v>
      </c>
      <c r="CM39" s="94">
        <v>11.747801453560699</v>
      </c>
      <c r="CN39" s="95">
        <v>11.2400716994881</v>
      </c>
      <c r="CO39" s="95">
        <v>10.8924620778541</v>
      </c>
      <c r="CP39" s="95">
        <v>10.4298670156355</v>
      </c>
      <c r="CQ39" s="95">
        <v>10.1860974107095</v>
      </c>
      <c r="CR39" s="95">
        <v>9.7573952852588501</v>
      </c>
      <c r="CS39" s="95">
        <v>8.9365842823332304</v>
      </c>
      <c r="CT39" s="95">
        <v>8.5165769420519393</v>
      </c>
      <c r="CU39" s="95">
        <v>7.9829885892051697</v>
      </c>
      <c r="CV39" s="95">
        <v>7.3312096963570497</v>
      </c>
      <c r="CW39" s="95">
        <v>7.2844435847246602</v>
      </c>
      <c r="CX39" s="95">
        <v>6.9357780940522602</v>
      </c>
      <c r="CY39" s="95">
        <v>6.3626547080703597</v>
      </c>
      <c r="CZ39" s="95">
        <v>5.94862741538254</v>
      </c>
      <c r="DA39" s="95">
        <v>5.4757020596371602</v>
      </c>
      <c r="DB39" s="95">
        <v>5.3708429638450799</v>
      </c>
      <c r="DC39" s="95">
        <v>5.0063689997251597</v>
      </c>
      <c r="DD39" s="95">
        <v>4.5594986463386702</v>
      </c>
      <c r="DE39" s="95">
        <v>4.2898928389019897</v>
      </c>
      <c r="DF39" s="95">
        <v>4.3461398398945699</v>
      </c>
      <c r="DG39" s="95">
        <v>4.2748170675312398</v>
      </c>
    </row>
    <row r="40" spans="1:111" s="40" customFormat="1" x14ac:dyDescent="0.3">
      <c r="A40" s="38" t="s">
        <v>17</v>
      </c>
      <c r="B40" s="92">
        <f t="shared" si="9"/>
        <v>17.323945662818581</v>
      </c>
      <c r="C40" s="96">
        <f t="shared" si="9"/>
        <v>17.108851709674106</v>
      </c>
      <c r="D40" s="92">
        <f t="shared" si="9"/>
        <v>16.854287926632676</v>
      </c>
      <c r="E40" s="92">
        <f t="shared" si="9"/>
        <v>16.502066202094472</v>
      </c>
      <c r="F40" s="92">
        <f t="shared" si="9"/>
        <v>18.822649485409293</v>
      </c>
      <c r="G40" s="92">
        <f t="shared" si="9"/>
        <v>20.083935497559452</v>
      </c>
      <c r="H40" s="92">
        <f t="shared" si="9"/>
        <v>19.950899019276626</v>
      </c>
      <c r="I40" s="92">
        <f t="shared" si="9"/>
        <v>21.18031727207196</v>
      </c>
      <c r="J40" s="37">
        <v>21.994490339219013</v>
      </c>
      <c r="K40" s="37">
        <v>21.9965252921032</v>
      </c>
      <c r="L40" s="37">
        <v>21.000234599021901</v>
      </c>
      <c r="M40" s="92">
        <v>20.7902671834891</v>
      </c>
      <c r="N40" s="94">
        <v>21.7084464947066</v>
      </c>
      <c r="O40" s="37">
        <v>20.833338000847</v>
      </c>
      <c r="P40" s="97">
        <v>20.829879711701199</v>
      </c>
      <c r="Q40" s="94">
        <v>20.678791941576101</v>
      </c>
      <c r="R40" s="37">
        <v>20.519069889322701</v>
      </c>
      <c r="S40" s="94">
        <v>20.3201796252504</v>
      </c>
      <c r="T40" s="94">
        <v>20.284037321879101</v>
      </c>
      <c r="U40" s="94">
        <v>19.815239825967701</v>
      </c>
      <c r="V40" s="94">
        <v>18.767178295563198</v>
      </c>
      <c r="W40" s="94">
        <v>18.5930925669768</v>
      </c>
      <c r="X40" s="94">
        <v>18.356543123862998</v>
      </c>
      <c r="Y40" s="94">
        <v>18.656383984145201</v>
      </c>
      <c r="Z40" s="94">
        <v>18.969080187167901</v>
      </c>
      <c r="AA40" s="94">
        <v>18.216151593463099</v>
      </c>
      <c r="AB40" s="94">
        <v>17.907440136340899</v>
      </c>
      <c r="AC40" s="94">
        <v>17.867459731232099</v>
      </c>
      <c r="AD40" s="94">
        <v>17.766172655917401</v>
      </c>
      <c r="AE40" s="94">
        <v>17.546003160300501</v>
      </c>
      <c r="AF40" s="94">
        <v>16.8572472283299</v>
      </c>
      <c r="AG40" s="94">
        <v>16.955894231179599</v>
      </c>
      <c r="AH40" s="94">
        <v>17.106856717918301</v>
      </c>
      <c r="AI40" s="94">
        <v>16.474579437082902</v>
      </c>
      <c r="AJ40" s="94">
        <v>16.575168585707299</v>
      </c>
      <c r="AK40" s="94">
        <v>15.404479364012399</v>
      </c>
      <c r="AL40" s="94">
        <v>15.8523294409865</v>
      </c>
      <c r="AM40" s="94">
        <v>15.3343491484598</v>
      </c>
      <c r="AN40" s="94">
        <v>14.4511273869273</v>
      </c>
      <c r="AO40" s="94">
        <v>14.774247902190901</v>
      </c>
      <c r="AP40" s="94">
        <v>15.2775472542749</v>
      </c>
      <c r="AQ40" s="94">
        <v>14.9703363369626</v>
      </c>
      <c r="AR40" s="94">
        <v>15.246949709094</v>
      </c>
      <c r="AS40" s="94">
        <v>15.1866903641086</v>
      </c>
      <c r="AT40" s="94">
        <v>13.274012372186601</v>
      </c>
      <c r="AU40" s="94">
        <v>12.843187169832699</v>
      </c>
      <c r="AV40" s="94">
        <v>12.939794256813199</v>
      </c>
      <c r="AW40" s="94">
        <v>11.549825036091899</v>
      </c>
      <c r="AX40" s="94">
        <v>11.311037015165899</v>
      </c>
      <c r="AY40" s="94">
        <v>10.428060418466201</v>
      </c>
      <c r="AZ40" s="94">
        <v>9.6075891302493499</v>
      </c>
      <c r="BA40" s="94">
        <v>9.4696742054467808</v>
      </c>
      <c r="BB40" s="94">
        <v>8.9419442588348304</v>
      </c>
      <c r="BC40" s="94">
        <v>8.5847639744686006</v>
      </c>
      <c r="BD40" s="94">
        <v>8.3100107007639608</v>
      </c>
      <c r="BE40" s="94">
        <v>8.0321157559671796</v>
      </c>
      <c r="BF40" s="94">
        <v>7.7144013029377696</v>
      </c>
      <c r="BG40" s="94">
        <v>7.40347020771266</v>
      </c>
      <c r="BH40" s="94">
        <v>7.0021039613295297</v>
      </c>
      <c r="BI40" s="94">
        <v>6.9196946306268003</v>
      </c>
      <c r="BJ40" s="94">
        <v>6.9261592880108296</v>
      </c>
      <c r="BK40" s="94">
        <v>6.7099627131300048</v>
      </c>
      <c r="BL40" s="94">
        <v>8.9510537015818805</v>
      </c>
      <c r="BM40" s="94">
        <v>9.4803249384591108</v>
      </c>
      <c r="BN40" s="94">
        <v>9.8893973393530707</v>
      </c>
      <c r="BO40" s="94">
        <v>10.7920330910404</v>
      </c>
      <c r="BP40" s="94">
        <v>11.605345928321208</v>
      </c>
      <c r="BQ40" s="94">
        <v>12.2010498980229</v>
      </c>
      <c r="BR40" s="94">
        <v>17.546422622578699</v>
      </c>
      <c r="BS40" s="94">
        <v>19.632091196465002</v>
      </c>
      <c r="BT40" s="94">
        <v>21.5336918552821</v>
      </c>
      <c r="BU40" s="94">
        <v>24.327201696422001</v>
      </c>
      <c r="BV40" s="94">
        <v>25.025095673133698</v>
      </c>
      <c r="BW40" s="94">
        <v>24.9438761355228</v>
      </c>
      <c r="BX40" s="94">
        <v>24.452857734807999</v>
      </c>
      <c r="BY40" s="94">
        <v>24.343027932508001</v>
      </c>
      <c r="BZ40" s="94">
        <v>23.937683740853899</v>
      </c>
      <c r="CA40" s="94">
        <v>22.146707186753002</v>
      </c>
      <c r="CB40" s="94">
        <v>22.066254007865201</v>
      </c>
      <c r="CC40" s="94">
        <v>20.744435688535475</v>
      </c>
      <c r="CD40" s="94">
        <v>18.806081900992599</v>
      </c>
      <c r="CE40" s="94">
        <v>19.0196223583844</v>
      </c>
      <c r="CF40" s="94">
        <v>18.142054781393401</v>
      </c>
      <c r="CG40" s="94">
        <v>16.0607506243316</v>
      </c>
      <c r="CH40" s="94">
        <v>15.6667746143063</v>
      </c>
      <c r="CI40" s="94">
        <v>15.4406731344859</v>
      </c>
      <c r="CJ40" s="94">
        <v>14.271404043851399</v>
      </c>
      <c r="CK40" s="94">
        <v>13.718334982025199</v>
      </c>
      <c r="CL40" s="94">
        <v>12.865779099314199</v>
      </c>
      <c r="CM40" s="94">
        <v>12.0233027786102</v>
      </c>
      <c r="CN40" s="95">
        <v>11.7791471692</v>
      </c>
      <c r="CO40" s="95">
        <v>11.709261561034699</v>
      </c>
      <c r="CP40" s="95">
        <v>11.4295164636717</v>
      </c>
      <c r="CQ40" s="95">
        <v>11.5795317188452</v>
      </c>
      <c r="CR40" s="95">
        <v>11.2209957849874</v>
      </c>
      <c r="CS40" s="95">
        <v>11.348859837597301</v>
      </c>
      <c r="CT40" s="95">
        <v>11.044472867508899</v>
      </c>
      <c r="CU40" s="95">
        <v>10.102373620329899</v>
      </c>
      <c r="CV40" s="95">
        <v>9.3611888981892601</v>
      </c>
      <c r="CW40" s="95">
        <v>9.3358812297476899</v>
      </c>
      <c r="CX40" s="95">
        <v>9.0171652878854403</v>
      </c>
      <c r="CY40" s="95">
        <v>9.3076525960459708</v>
      </c>
      <c r="CZ40" s="95">
        <v>9.1180171186474599</v>
      </c>
      <c r="DA40" s="95">
        <v>9.0152752010171504</v>
      </c>
      <c r="DB40" s="95">
        <v>8.6043160190947798</v>
      </c>
      <c r="DC40" s="95">
        <v>8.3211643338139698</v>
      </c>
      <c r="DD40" s="95">
        <v>8.4114596318822503</v>
      </c>
      <c r="DE40" s="95">
        <v>7.9228015026402003</v>
      </c>
      <c r="DF40" s="95">
        <v>7.8729654941677998</v>
      </c>
      <c r="DG40" s="95">
        <v>7.5711059283892501</v>
      </c>
    </row>
    <row r="41" spans="1:111" s="40" customFormat="1" x14ac:dyDescent="0.3">
      <c r="A41" s="39" t="s">
        <v>18</v>
      </c>
      <c r="B41" s="44">
        <f t="shared" si="9"/>
        <v>27.819083151145403</v>
      </c>
      <c r="C41" s="44">
        <f t="shared" si="9"/>
        <v>23.929702198119326</v>
      </c>
      <c r="D41" s="44">
        <f t="shared" si="9"/>
        <v>31.899072765409176</v>
      </c>
      <c r="E41" s="44">
        <f t="shared" si="9"/>
        <v>87.573870838964609</v>
      </c>
      <c r="F41" s="44">
        <f t="shared" si="9"/>
        <v>35.750908155499992</v>
      </c>
      <c r="G41" s="44">
        <f t="shared" si="9"/>
        <v>42.277091021114671</v>
      </c>
      <c r="H41" s="44">
        <f t="shared" si="9"/>
        <v>40.040216401907799</v>
      </c>
      <c r="I41" s="44">
        <f t="shared" si="9"/>
        <v>41.837546945867729</v>
      </c>
      <c r="J41" s="44">
        <v>43.22771278600132</v>
      </c>
      <c r="K41" s="44">
        <v>43.140830768805699</v>
      </c>
      <c r="L41" s="34">
        <v>43.071457907326703</v>
      </c>
      <c r="M41" s="44">
        <v>36.672514365912903</v>
      </c>
      <c r="N41" s="34">
        <v>36.423904032032503</v>
      </c>
      <c r="O41" s="34">
        <v>38.897193999805602</v>
      </c>
      <c r="P41" s="34">
        <v>47.551469205503203</v>
      </c>
      <c r="Q41" s="44">
        <v>51.165818388961597</v>
      </c>
      <c r="R41" s="34">
        <v>51.116079535785303</v>
      </c>
      <c r="S41" s="44">
        <v>63.035466618829098</v>
      </c>
      <c r="T41" s="34">
        <v>41.687055124980603</v>
      </c>
      <c r="U41" s="44">
        <v>41.800560984945399</v>
      </c>
      <c r="V41" s="44">
        <v>41.687074621671798</v>
      </c>
      <c r="W41" s="44">
        <v>89.735727876494394</v>
      </c>
      <c r="X41" s="44">
        <v>50.060070414777897</v>
      </c>
      <c r="Y41" s="44">
        <v>41.696205107807899</v>
      </c>
      <c r="Z41" s="44">
        <v>41.706746854766102</v>
      </c>
      <c r="AA41" s="44">
        <v>41.706746854766102</v>
      </c>
      <c r="AB41" s="44">
        <v>43.181294253450098</v>
      </c>
      <c r="AC41" s="44">
        <v>44.888737031715102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S41" s="44">
        <v>15.9483136343034</v>
      </c>
      <c r="AT41" s="44">
        <v>0</v>
      </c>
      <c r="AU41" s="44">
        <v>0</v>
      </c>
      <c r="AV41" s="44">
        <v>0</v>
      </c>
      <c r="AW41" s="44">
        <v>63.9969524245397</v>
      </c>
      <c r="AX41" s="44">
        <v>0</v>
      </c>
      <c r="AY41" s="44">
        <v>0</v>
      </c>
      <c r="AZ41" s="44">
        <v>0</v>
      </c>
      <c r="BA41" s="44">
        <v>0</v>
      </c>
      <c r="BB41" s="44">
        <v>0</v>
      </c>
      <c r="BC41" s="44">
        <v>0</v>
      </c>
      <c r="BD41" s="44">
        <v>0</v>
      </c>
      <c r="BE41" s="44">
        <v>99.353189576013406</v>
      </c>
      <c r="BF41" s="44">
        <v>0</v>
      </c>
      <c r="BG41" s="44">
        <v>0</v>
      </c>
      <c r="BH41" s="44">
        <v>0</v>
      </c>
      <c r="BI41" s="44">
        <v>0</v>
      </c>
      <c r="BJ41" s="44">
        <v>0</v>
      </c>
      <c r="BK41" s="44">
        <v>0</v>
      </c>
      <c r="BL41" s="44">
        <v>0</v>
      </c>
      <c r="BM41" s="44">
        <v>0</v>
      </c>
      <c r="BN41" s="44">
        <v>0</v>
      </c>
      <c r="BO41" s="44">
        <v>22.3741063897813</v>
      </c>
      <c r="BP41" s="44">
        <v>0</v>
      </c>
      <c r="BQ41" s="44">
        <v>11.2999309378236</v>
      </c>
      <c r="BR41" s="44">
        <v>14.214395041255599</v>
      </c>
      <c r="BS41" s="44">
        <v>0</v>
      </c>
      <c r="BT41" s="44">
        <v>0</v>
      </c>
      <c r="BU41" s="44">
        <v>0</v>
      </c>
      <c r="BV41" s="44">
        <v>0</v>
      </c>
      <c r="BW41" s="44">
        <v>0</v>
      </c>
      <c r="BX41" s="44">
        <v>0</v>
      </c>
      <c r="BY41" s="44">
        <v>0</v>
      </c>
      <c r="BZ41" s="44">
        <v>0</v>
      </c>
      <c r="CA41" s="44">
        <v>0</v>
      </c>
      <c r="CB41" s="44">
        <v>0</v>
      </c>
      <c r="CC41" s="44">
        <v>0</v>
      </c>
      <c r="CD41" s="44">
        <v>0</v>
      </c>
      <c r="CE41" s="44">
        <v>0</v>
      </c>
      <c r="CF41" s="44">
        <v>0</v>
      </c>
      <c r="CG41" s="44">
        <v>0</v>
      </c>
      <c r="CH41" s="44">
        <v>0</v>
      </c>
      <c r="CI41" s="44">
        <v>0</v>
      </c>
      <c r="CJ41" s="44">
        <v>0</v>
      </c>
      <c r="CK41" s="44">
        <v>0</v>
      </c>
      <c r="CL41" s="44">
        <v>0</v>
      </c>
      <c r="CM41" s="44">
        <v>0</v>
      </c>
      <c r="CN41" s="45">
        <v>0</v>
      </c>
      <c r="CO41" s="45">
        <v>0</v>
      </c>
      <c r="CP41" s="45">
        <v>0</v>
      </c>
      <c r="CQ41" s="45">
        <v>0</v>
      </c>
      <c r="CR41" s="45">
        <v>0</v>
      </c>
      <c r="CS41" s="45">
        <v>56.138215297598499</v>
      </c>
      <c r="CT41" s="45">
        <v>0</v>
      </c>
      <c r="CU41" s="45">
        <v>0</v>
      </c>
      <c r="CV41" s="45">
        <v>0</v>
      </c>
      <c r="CW41" s="45">
        <v>0</v>
      </c>
      <c r="CX41" s="45">
        <v>0</v>
      </c>
      <c r="CY41" s="45">
        <v>0</v>
      </c>
      <c r="CZ41" s="45">
        <v>0</v>
      </c>
      <c r="DA41" s="45">
        <v>0</v>
      </c>
      <c r="DB41" s="45">
        <v>0</v>
      </c>
      <c r="DC41" s="45">
        <v>0</v>
      </c>
      <c r="DD41" s="45">
        <v>49.499388151144998</v>
      </c>
      <c r="DE41" s="45">
        <v>0</v>
      </c>
      <c r="DF41" s="45">
        <v>0</v>
      </c>
      <c r="DG41" s="45">
        <v>99.594172744094095</v>
      </c>
    </row>
    <row r="42" spans="1:111" s="98" customFormat="1" x14ac:dyDescent="0.3">
      <c r="A42" s="63" t="s">
        <v>21</v>
      </c>
      <c r="B42" s="41">
        <v>97</v>
      </c>
      <c r="C42" s="41">
        <v>96</v>
      </c>
      <c r="D42" s="41">
        <v>95</v>
      </c>
      <c r="E42" s="41">
        <v>93</v>
      </c>
      <c r="F42" s="41">
        <v>94</v>
      </c>
      <c r="G42" s="41">
        <v>93</v>
      </c>
      <c r="H42" s="41">
        <v>93</v>
      </c>
      <c r="I42" s="41">
        <v>92</v>
      </c>
      <c r="J42" s="20">
        <v>91</v>
      </c>
      <c r="K42" s="20">
        <v>91</v>
      </c>
      <c r="L42" s="20">
        <v>90</v>
      </c>
      <c r="M42" s="160">
        <v>84</v>
      </c>
      <c r="N42" s="160">
        <v>84</v>
      </c>
      <c r="O42" s="160">
        <v>84</v>
      </c>
      <c r="P42" s="160">
        <v>84</v>
      </c>
      <c r="Q42" s="160">
        <v>84</v>
      </c>
      <c r="R42" s="160">
        <v>84</v>
      </c>
      <c r="S42" s="160">
        <v>83</v>
      </c>
      <c r="T42" s="160">
        <v>83</v>
      </c>
      <c r="U42" s="160">
        <v>82</v>
      </c>
      <c r="V42" s="160">
        <v>82</v>
      </c>
      <c r="W42" s="160">
        <v>80</v>
      </c>
      <c r="X42" s="160">
        <v>79</v>
      </c>
      <c r="Y42" s="160">
        <v>78</v>
      </c>
      <c r="Z42" s="160">
        <v>78</v>
      </c>
      <c r="AA42" s="160">
        <v>78</v>
      </c>
      <c r="AB42" s="160">
        <v>78</v>
      </c>
      <c r="AC42" s="160">
        <v>78</v>
      </c>
      <c r="AD42" s="160">
        <v>76</v>
      </c>
      <c r="AE42" s="160">
        <v>76</v>
      </c>
      <c r="AF42" s="160">
        <v>76</v>
      </c>
      <c r="AG42" s="160">
        <v>76</v>
      </c>
      <c r="AH42" s="160">
        <v>76</v>
      </c>
      <c r="AI42" s="160">
        <v>75</v>
      </c>
      <c r="AJ42" s="160">
        <v>75</v>
      </c>
      <c r="AK42" s="160">
        <v>75</v>
      </c>
      <c r="AL42" s="160">
        <v>75</v>
      </c>
      <c r="AM42" s="160">
        <v>75</v>
      </c>
      <c r="AN42" s="160">
        <v>75</v>
      </c>
      <c r="AO42" s="160">
        <v>75</v>
      </c>
      <c r="AP42" s="160">
        <v>75</v>
      </c>
      <c r="AQ42" s="160">
        <v>75</v>
      </c>
      <c r="AR42" s="160">
        <v>75</v>
      </c>
      <c r="AS42" s="160">
        <v>75</v>
      </c>
      <c r="AT42" s="160">
        <v>74</v>
      </c>
      <c r="AU42" s="160">
        <v>74</v>
      </c>
      <c r="AV42" s="160">
        <v>74</v>
      </c>
      <c r="AW42" s="160">
        <v>74</v>
      </c>
      <c r="AX42" s="160">
        <v>73</v>
      </c>
      <c r="AY42" s="160">
        <v>73</v>
      </c>
      <c r="AZ42" s="160">
        <v>73</v>
      </c>
      <c r="BA42" s="160">
        <v>73</v>
      </c>
      <c r="BB42" s="160">
        <v>73</v>
      </c>
      <c r="BC42" s="160">
        <v>73</v>
      </c>
      <c r="BD42" s="160">
        <v>72</v>
      </c>
      <c r="BE42" s="160">
        <v>72</v>
      </c>
      <c r="BF42" s="160">
        <v>71</v>
      </c>
      <c r="BG42" s="160">
        <v>71</v>
      </c>
      <c r="BH42" s="160">
        <v>71</v>
      </c>
      <c r="BI42" s="160">
        <v>71</v>
      </c>
      <c r="BJ42" s="160">
        <v>71</v>
      </c>
      <c r="BK42" s="160">
        <v>69</v>
      </c>
      <c r="BL42" s="160">
        <v>69</v>
      </c>
      <c r="BM42" s="160">
        <v>69</v>
      </c>
      <c r="BN42" s="160">
        <v>69</v>
      </c>
      <c r="BO42" s="160">
        <v>69</v>
      </c>
      <c r="BP42" s="160">
        <v>68</v>
      </c>
      <c r="BQ42" s="160">
        <v>68</v>
      </c>
      <c r="BR42" s="160">
        <v>68</v>
      </c>
      <c r="BS42" s="160">
        <v>67</v>
      </c>
      <c r="BT42" s="160">
        <v>67</v>
      </c>
      <c r="BU42" s="160">
        <v>67</v>
      </c>
      <c r="BV42" s="160">
        <v>67</v>
      </c>
      <c r="BW42" s="160">
        <v>65</v>
      </c>
      <c r="BX42" s="160">
        <v>65</v>
      </c>
      <c r="BY42" s="160">
        <v>65</v>
      </c>
      <c r="BZ42" s="160">
        <v>65</v>
      </c>
      <c r="CA42" s="160">
        <v>65</v>
      </c>
      <c r="CB42" s="160">
        <v>64</v>
      </c>
      <c r="CC42" s="160">
        <v>64</v>
      </c>
      <c r="CD42" s="160">
        <v>63</v>
      </c>
      <c r="CE42" s="160">
        <v>63</v>
      </c>
      <c r="CF42" s="160">
        <v>63</v>
      </c>
      <c r="CG42" s="160">
        <v>63</v>
      </c>
      <c r="CH42" s="160">
        <v>63</v>
      </c>
      <c r="CI42" s="160">
        <v>63</v>
      </c>
      <c r="CJ42" s="160">
        <v>63</v>
      </c>
      <c r="CK42" s="160">
        <v>63</v>
      </c>
      <c r="CL42" s="160">
        <v>63</v>
      </c>
      <c r="CM42" s="160">
        <v>62</v>
      </c>
      <c r="CN42" s="98">
        <v>62</v>
      </c>
      <c r="CO42" s="98">
        <v>62</v>
      </c>
      <c r="CP42" s="98">
        <v>62</v>
      </c>
      <c r="CQ42" s="98">
        <v>62</v>
      </c>
      <c r="CR42" s="98">
        <v>62</v>
      </c>
      <c r="CS42" s="98">
        <v>62</v>
      </c>
      <c r="CT42" s="98">
        <v>61</v>
      </c>
      <c r="CU42" s="98">
        <v>61</v>
      </c>
      <c r="CV42" s="98">
        <v>60</v>
      </c>
      <c r="CW42" s="98">
        <v>60</v>
      </c>
      <c r="CX42" s="98">
        <v>60</v>
      </c>
      <c r="CY42" s="98">
        <v>60</v>
      </c>
      <c r="CZ42" s="98">
        <v>60</v>
      </c>
      <c r="DA42" s="98">
        <v>60</v>
      </c>
      <c r="DB42" s="98">
        <v>60</v>
      </c>
      <c r="DC42" s="98">
        <v>60</v>
      </c>
      <c r="DD42" s="98">
        <v>60</v>
      </c>
      <c r="DE42" s="98">
        <v>60</v>
      </c>
      <c r="DF42" s="98">
        <v>60</v>
      </c>
      <c r="DG42" s="98">
        <v>60</v>
      </c>
    </row>
    <row r="43" spans="1:111" x14ac:dyDescent="0.3">
      <c r="A43" s="99" t="s">
        <v>22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</row>
    <row r="44" spans="1:111" x14ac:dyDescent="0.3">
      <c r="A44" s="101" t="s">
        <v>23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1"/>
      <c r="BV44" s="161"/>
      <c r="BW44" s="161"/>
      <c r="BX44" s="161"/>
      <c r="BY44" s="161"/>
      <c r="BZ44" s="161"/>
      <c r="CA44" s="161"/>
      <c r="CB44" s="161"/>
      <c r="CC44" s="161"/>
      <c r="CD44" s="161"/>
      <c r="CE44" s="161"/>
      <c r="CF44" s="161"/>
      <c r="CG44" s="161"/>
      <c r="CH44" s="161"/>
      <c r="CI44" s="161"/>
      <c r="CJ44" s="161"/>
      <c r="CK44" s="161"/>
      <c r="CL44" s="161"/>
      <c r="CM44" s="161"/>
      <c r="CN44" s="161"/>
      <c r="CO44" s="161"/>
      <c r="CP44" s="161"/>
      <c r="CQ44" s="161"/>
      <c r="CR44" s="161"/>
      <c r="CS44" s="161"/>
      <c r="CT44" s="161"/>
      <c r="CU44" s="161"/>
      <c r="CV44" s="161"/>
      <c r="CW44" s="161"/>
      <c r="CX44" s="161"/>
      <c r="CY44" s="161"/>
      <c r="CZ44" s="161"/>
      <c r="DA44" s="161"/>
      <c r="DB44" s="161"/>
      <c r="DC44" s="161"/>
      <c r="DD44" s="161"/>
      <c r="DE44" s="161"/>
      <c r="DF44" s="161"/>
      <c r="DG44" s="161"/>
    </row>
    <row r="45" spans="1:111" s="30" customFormat="1" ht="28.8" x14ac:dyDescent="0.3">
      <c r="A45" s="104" t="s">
        <v>24</v>
      </c>
      <c r="B45" s="105">
        <v>0.73583519000000008</v>
      </c>
      <c r="C45" s="105">
        <v>0.12897225000000001</v>
      </c>
      <c r="D45" s="105">
        <v>6.7417700000000002E-3</v>
      </c>
      <c r="E45" s="105">
        <v>7.7544799999999994E-3</v>
      </c>
      <c r="F45" s="105">
        <v>0.10537053</v>
      </c>
      <c r="G45" s="105">
        <v>0.10421716</v>
      </c>
      <c r="H45" s="105">
        <v>0.10155607000000001</v>
      </c>
      <c r="I45" s="105">
        <v>0.10440216000000001</v>
      </c>
      <c r="J45" s="105">
        <v>0.10440487</v>
      </c>
      <c r="K45" s="105">
        <v>0.10310886</v>
      </c>
      <c r="L45" s="105">
        <v>0.10351456000000001</v>
      </c>
      <c r="M45" s="106">
        <v>0.10650871000000001</v>
      </c>
      <c r="N45" s="106">
        <v>0.10422513</v>
      </c>
      <c r="O45" s="106">
        <v>0.10173078000000001</v>
      </c>
      <c r="P45" s="106">
        <v>0.10546426</v>
      </c>
      <c r="Q45" s="106">
        <v>0.10518089</v>
      </c>
      <c r="R45" s="106">
        <v>0.10310722</v>
      </c>
      <c r="S45" s="106">
        <v>0.10240848</v>
      </c>
      <c r="T45" s="106">
        <v>0.10707042</v>
      </c>
      <c r="U45" s="106">
        <v>0.10591186</v>
      </c>
      <c r="V45" s="106">
        <v>0.10228128</v>
      </c>
      <c r="W45" s="106">
        <v>1.4481400000000001E-3</v>
      </c>
      <c r="X45" s="106">
        <v>2.1525200000000002E-3</v>
      </c>
      <c r="Y45" s="106">
        <v>1.5222E-3</v>
      </c>
      <c r="Z45" s="106">
        <v>5.0875199999999999E-3</v>
      </c>
      <c r="AA45" s="106">
        <v>2.0647500000000002E-3</v>
      </c>
      <c r="AB45" s="106">
        <v>2.26867E-3</v>
      </c>
      <c r="AC45" s="106">
        <v>2.4133399999999999E-3</v>
      </c>
      <c r="AD45" s="106">
        <v>4.57589E-3</v>
      </c>
      <c r="AE45" s="106">
        <v>4.0821099999999999E-3</v>
      </c>
      <c r="AF45" s="106">
        <v>1.79649E-3</v>
      </c>
      <c r="AG45" s="106">
        <v>5.2322127199999997</v>
      </c>
      <c r="AH45" s="106">
        <v>8.4360000000000001E-4</v>
      </c>
      <c r="AI45" s="106">
        <v>2.405E-3</v>
      </c>
      <c r="AJ45" s="106">
        <v>2.3232599999999999E-2</v>
      </c>
      <c r="AK45" s="106">
        <v>2.6348699999999999E-2</v>
      </c>
      <c r="AL45" s="106">
        <v>2.6846100000000001E-2</v>
      </c>
      <c r="AM45" s="106">
        <v>2.8006199999999998E-2</v>
      </c>
      <c r="AN45" s="106">
        <v>0.02</v>
      </c>
      <c r="AO45" s="106">
        <v>0.02</v>
      </c>
      <c r="AP45" s="106">
        <v>2.026E-2</v>
      </c>
      <c r="AQ45" s="106">
        <v>2.5999999999999998E-4</v>
      </c>
      <c r="AR45" s="106">
        <v>0</v>
      </c>
      <c r="AS45" s="106">
        <v>0</v>
      </c>
      <c r="AT45" s="106">
        <v>0</v>
      </c>
      <c r="AU45" s="106">
        <v>0</v>
      </c>
      <c r="AV45" s="106">
        <v>0</v>
      </c>
      <c r="AW45" s="106">
        <v>0</v>
      </c>
      <c r="AX45" s="106">
        <v>0</v>
      </c>
      <c r="AY45" s="106">
        <v>0</v>
      </c>
      <c r="AZ45" s="106">
        <v>0.18629717000000001</v>
      </c>
      <c r="BA45" s="106">
        <v>0</v>
      </c>
      <c r="BB45" s="106">
        <v>0</v>
      </c>
      <c r="BC45" s="106">
        <v>0</v>
      </c>
      <c r="BD45" s="106">
        <v>0</v>
      </c>
      <c r="BE45" s="106">
        <v>0</v>
      </c>
      <c r="BF45" s="106">
        <v>0</v>
      </c>
      <c r="BG45" s="106">
        <v>0</v>
      </c>
      <c r="BH45" s="106">
        <v>0</v>
      </c>
      <c r="BI45" s="106">
        <v>0</v>
      </c>
      <c r="BJ45" s="106">
        <v>0</v>
      </c>
      <c r="BK45" s="106">
        <v>0</v>
      </c>
      <c r="BL45" s="106">
        <v>0</v>
      </c>
      <c r="BM45" s="106">
        <v>0</v>
      </c>
      <c r="BN45" s="106">
        <v>0</v>
      </c>
      <c r="BO45" s="106">
        <v>0</v>
      </c>
      <c r="BP45" s="106">
        <v>0</v>
      </c>
      <c r="BQ45" s="106">
        <v>0</v>
      </c>
      <c r="BR45" s="106">
        <v>0</v>
      </c>
      <c r="BS45" s="106">
        <v>0</v>
      </c>
      <c r="BT45" s="106">
        <v>0</v>
      </c>
      <c r="BU45" s="106">
        <v>0</v>
      </c>
      <c r="BV45" s="106">
        <v>0</v>
      </c>
      <c r="BW45" s="106">
        <v>0</v>
      </c>
      <c r="BX45" s="106">
        <v>0</v>
      </c>
      <c r="BY45" s="106">
        <v>0</v>
      </c>
      <c r="BZ45" s="106">
        <v>0</v>
      </c>
      <c r="CA45" s="106">
        <v>0</v>
      </c>
      <c r="CB45" s="106">
        <v>0</v>
      </c>
      <c r="CC45" s="106">
        <v>0</v>
      </c>
      <c r="CD45" s="106">
        <v>0</v>
      </c>
      <c r="CE45" s="106">
        <v>0</v>
      </c>
      <c r="CF45" s="106">
        <v>0</v>
      </c>
      <c r="CG45" s="106">
        <v>0</v>
      </c>
      <c r="CH45" s="106">
        <v>0</v>
      </c>
      <c r="CI45" s="106">
        <v>0</v>
      </c>
      <c r="CJ45" s="106">
        <v>0</v>
      </c>
      <c r="CK45" s="106">
        <v>0</v>
      </c>
      <c r="CL45" s="106">
        <v>0</v>
      </c>
      <c r="CM45" s="106">
        <v>0</v>
      </c>
      <c r="CN45" s="106">
        <v>0</v>
      </c>
      <c r="CO45" s="106">
        <v>0</v>
      </c>
      <c r="CP45" s="106">
        <v>4.24E-2</v>
      </c>
      <c r="CQ45" s="106">
        <v>0</v>
      </c>
      <c r="CR45" s="106">
        <v>0.1452</v>
      </c>
      <c r="CS45" s="106">
        <v>0.18759999999999999</v>
      </c>
      <c r="CT45" s="106">
        <v>0.18759999999999999</v>
      </c>
      <c r="CU45" s="106">
        <v>0.18759999999999999</v>
      </c>
      <c r="CV45" s="106">
        <v>0.1452</v>
      </c>
      <c r="CW45" s="106">
        <v>0.1452</v>
      </c>
      <c r="CX45" s="106">
        <v>0.18759999999999999</v>
      </c>
      <c r="CY45" s="106">
        <v>0.1452</v>
      </c>
      <c r="CZ45" s="106">
        <v>0.18759999999999999</v>
      </c>
      <c r="DA45" s="106">
        <v>0</v>
      </c>
      <c r="DB45" s="106">
        <v>0.1452</v>
      </c>
      <c r="DC45" s="106">
        <v>0.1452</v>
      </c>
      <c r="DD45" s="106">
        <v>0.1452</v>
      </c>
      <c r="DE45" s="106">
        <v>0.1452</v>
      </c>
      <c r="DF45" s="106">
        <v>0</v>
      </c>
      <c r="DG45" s="106">
        <v>0</v>
      </c>
    </row>
    <row r="46" spans="1:111" s="30" customFormat="1" ht="28.8" x14ac:dyDescent="0.3">
      <c r="A46" s="24" t="s">
        <v>25</v>
      </c>
      <c r="B46" s="25">
        <v>20189.603822349989</v>
      </c>
      <c r="C46" s="25">
        <v>21559.988458580039</v>
      </c>
      <c r="D46" s="25">
        <v>23675.661529029996</v>
      </c>
      <c r="E46" s="25">
        <v>24092.16576244</v>
      </c>
      <c r="F46" s="25">
        <v>24241.878545509986</v>
      </c>
      <c r="G46" s="25">
        <v>23964.635254650013</v>
      </c>
      <c r="H46" s="25">
        <v>23775.668323989987</v>
      </c>
      <c r="I46" s="25">
        <v>23904.173618150002</v>
      </c>
      <c r="J46" s="25">
        <v>24059.478989960022</v>
      </c>
      <c r="K46" s="25">
        <v>23985.45318506</v>
      </c>
      <c r="L46" s="25">
        <v>24317.960140430001</v>
      </c>
      <c r="M46" s="27">
        <v>18297.545933230002</v>
      </c>
      <c r="N46" s="42">
        <v>18144.385431760002</v>
      </c>
      <c r="O46" s="42">
        <v>17544.986472299999</v>
      </c>
      <c r="P46" s="42">
        <v>21012.713760490002</v>
      </c>
      <c r="Q46" s="42">
        <v>20919.052203980002</v>
      </c>
      <c r="R46" s="42">
        <v>21110.630381269999</v>
      </c>
      <c r="S46" s="42">
        <v>21383.338104620001</v>
      </c>
      <c r="T46" s="42">
        <v>21270.822263350001</v>
      </c>
      <c r="U46" s="42">
        <v>21152.20332647</v>
      </c>
      <c r="V46" s="42">
        <v>21849.957037550001</v>
      </c>
      <c r="W46" s="42">
        <v>21967.353901350001</v>
      </c>
      <c r="X46" s="42">
        <v>21820.587198879999</v>
      </c>
      <c r="Y46" s="42">
        <v>20062.188509439999</v>
      </c>
      <c r="Z46" s="42">
        <v>20013.0885757</v>
      </c>
      <c r="AA46" s="42">
        <v>19336.795459069999</v>
      </c>
      <c r="AB46" s="42">
        <v>18669.61421159</v>
      </c>
      <c r="AC46" s="42">
        <v>19030.99105832</v>
      </c>
      <c r="AD46" s="42">
        <v>18200.37281651</v>
      </c>
      <c r="AE46" s="42">
        <v>18265.519447999999</v>
      </c>
      <c r="AF46" s="42">
        <v>17983.874357230001</v>
      </c>
      <c r="AG46" s="42">
        <v>18301.099744660001</v>
      </c>
      <c r="AH46" s="42">
        <v>18085.877560000001</v>
      </c>
      <c r="AI46" s="42">
        <v>17618.509984939999</v>
      </c>
      <c r="AJ46" s="42">
        <v>17802.586656110001</v>
      </c>
      <c r="AK46" s="42">
        <v>16906.24745703</v>
      </c>
      <c r="AL46" s="42">
        <v>16720.752131019999</v>
      </c>
      <c r="AM46" s="42">
        <v>16612.562879550002</v>
      </c>
      <c r="AN46" s="42">
        <v>16429.81897235</v>
      </c>
      <c r="AO46" s="42">
        <v>16342.073731799999</v>
      </c>
      <c r="AP46" s="42">
        <v>16033.509018979999</v>
      </c>
      <c r="AQ46" s="42">
        <v>16467.819232940001</v>
      </c>
      <c r="AR46" s="42">
        <v>16014.28330997</v>
      </c>
      <c r="AS46" s="42">
        <v>16829.053186450001</v>
      </c>
      <c r="AT46" s="42">
        <v>16804.680049949999</v>
      </c>
      <c r="AU46" s="42">
        <v>17075.702268370002</v>
      </c>
      <c r="AV46" s="42">
        <v>17357.217406510001</v>
      </c>
      <c r="AW46" s="42">
        <v>16773.821546800002</v>
      </c>
      <c r="AX46" s="42">
        <v>16421.115408080001</v>
      </c>
      <c r="AY46" s="42">
        <v>17367.498069429999</v>
      </c>
      <c r="AZ46" s="42">
        <v>16998.188557609999</v>
      </c>
      <c r="BA46" s="42">
        <v>16691.0039631</v>
      </c>
      <c r="BB46" s="42">
        <v>16731.482530059999</v>
      </c>
      <c r="BC46" s="42">
        <v>16806.126096740001</v>
      </c>
      <c r="BD46" s="42">
        <v>16732.513557409999</v>
      </c>
      <c r="BE46" s="42">
        <v>16892.85581212</v>
      </c>
      <c r="BF46" s="42">
        <v>17024.712413410001</v>
      </c>
      <c r="BG46" s="42">
        <v>17650.319112829999</v>
      </c>
      <c r="BH46" s="42">
        <v>17581.450739309999</v>
      </c>
      <c r="BI46" s="42">
        <v>16703.864789589999</v>
      </c>
      <c r="BJ46" s="42">
        <v>16909.864544759999</v>
      </c>
      <c r="BK46" s="42">
        <v>19454.792154830022</v>
      </c>
      <c r="BL46" s="42">
        <v>15826.55954568</v>
      </c>
      <c r="BM46" s="42">
        <v>16024.542960659999</v>
      </c>
      <c r="BN46" s="42">
        <v>15990.632609189999</v>
      </c>
      <c r="BO46" s="42">
        <v>16430.49568575</v>
      </c>
      <c r="BP46" s="42">
        <v>16709.5088507</v>
      </c>
      <c r="BQ46" s="42">
        <v>16516.618334520001</v>
      </c>
      <c r="BR46" s="42">
        <v>17041.57455809</v>
      </c>
      <c r="BS46" s="42">
        <v>16795.519369109999</v>
      </c>
      <c r="BT46" s="42">
        <v>17532.126914569999</v>
      </c>
      <c r="BU46" s="42">
        <v>18695.99005493</v>
      </c>
      <c r="BV46" s="42">
        <v>18823.950466620001</v>
      </c>
      <c r="BW46" s="42">
        <v>17920.45323761</v>
      </c>
      <c r="BX46" s="42">
        <v>19020.471849739999</v>
      </c>
      <c r="BY46" s="42">
        <v>19027.463681099998</v>
      </c>
      <c r="BZ46" s="42">
        <v>17911.155246080001</v>
      </c>
      <c r="CA46" s="42">
        <v>17486.868455219999</v>
      </c>
      <c r="CB46" s="42">
        <v>17591.38971222</v>
      </c>
      <c r="CC46" s="42">
        <v>17167.826277389999</v>
      </c>
      <c r="CD46" s="42">
        <v>17138.087871560001</v>
      </c>
      <c r="CE46" s="42">
        <v>16681.89686574</v>
      </c>
      <c r="CF46" s="42">
        <v>16894.16523975</v>
      </c>
      <c r="CG46" s="42">
        <v>16840.101417170001</v>
      </c>
      <c r="CH46" s="42">
        <v>16037.286078720001</v>
      </c>
      <c r="CI46" s="42">
        <v>16249.268112600001</v>
      </c>
      <c r="CJ46" s="42">
        <v>16994.61172936</v>
      </c>
      <c r="CK46" s="42">
        <v>16078.841478419999</v>
      </c>
      <c r="CL46" s="42">
        <v>16403.254153940001</v>
      </c>
      <c r="CM46" s="42">
        <v>16391.61635887</v>
      </c>
      <c r="CN46" s="42">
        <v>15718.568638139999</v>
      </c>
      <c r="CO46" s="42">
        <v>16620.760164430001</v>
      </c>
      <c r="CP46" s="42">
        <v>16189.170952689999</v>
      </c>
      <c r="CQ46" s="42">
        <v>16190.73916325</v>
      </c>
      <c r="CR46" s="42">
        <v>17259.158522590002</v>
      </c>
      <c r="CS46" s="42">
        <v>18702.641466019999</v>
      </c>
      <c r="CT46" s="42">
        <v>18231.741031950001</v>
      </c>
      <c r="CU46" s="42">
        <v>17898.573238500001</v>
      </c>
      <c r="CV46" s="42">
        <v>18255.479446339999</v>
      </c>
      <c r="CW46" s="42">
        <v>18236.258981409999</v>
      </c>
      <c r="CX46" s="42">
        <v>18212.4151805</v>
      </c>
      <c r="CY46" s="42">
        <v>16590.904998850001</v>
      </c>
      <c r="CZ46" s="42">
        <v>16524.128265610001</v>
      </c>
      <c r="DA46" s="42">
        <v>19136.097482040001</v>
      </c>
      <c r="DB46" s="42">
        <v>19643.039681509999</v>
      </c>
      <c r="DC46" s="42">
        <v>19813.34490063</v>
      </c>
      <c r="DD46" s="42">
        <v>21684.849391529999</v>
      </c>
      <c r="DE46" s="42">
        <v>19588.102189009998</v>
      </c>
      <c r="DF46" s="42">
        <v>20227.259228070001</v>
      </c>
      <c r="DG46" s="42">
        <v>20864.035692239999</v>
      </c>
    </row>
    <row r="47" spans="1:111" s="30" customFormat="1" x14ac:dyDescent="0.3">
      <c r="A47" s="31" t="s">
        <v>26</v>
      </c>
      <c r="B47" s="25">
        <v>8972.4562802799992</v>
      </c>
      <c r="C47" s="25">
        <v>9682.2583049799978</v>
      </c>
      <c r="D47" s="25">
        <v>12577.677873259996</v>
      </c>
      <c r="E47" s="25">
        <v>12683.361337480013</v>
      </c>
      <c r="F47" s="25">
        <v>12851.862931640009</v>
      </c>
      <c r="G47" s="25">
        <v>13338.202812960008</v>
      </c>
      <c r="H47" s="25">
        <v>14121.132303820001</v>
      </c>
      <c r="I47" s="25">
        <v>14045.094890180009</v>
      </c>
      <c r="J47" s="25">
        <v>14066.444736319996</v>
      </c>
      <c r="K47" s="25">
        <v>14155.53461447</v>
      </c>
      <c r="L47" s="26">
        <v>14301.040010860001</v>
      </c>
      <c r="M47" s="29">
        <v>7367.7783621500002</v>
      </c>
      <c r="N47" s="28">
        <v>7360.7602444100003</v>
      </c>
      <c r="O47" s="27">
        <v>7351.7518817399996</v>
      </c>
      <c r="P47" s="27">
        <v>7675.0959982200002</v>
      </c>
      <c r="Q47" s="27">
        <v>7745.4023165500003</v>
      </c>
      <c r="R47" s="27">
        <v>7774.4902249400002</v>
      </c>
      <c r="S47" s="27">
        <v>7599.1651454599996</v>
      </c>
      <c r="T47" s="27">
        <v>7690.3948240099999</v>
      </c>
      <c r="U47" s="27">
        <v>7957.9885394700004</v>
      </c>
      <c r="V47" s="27">
        <v>8067.3253944500002</v>
      </c>
      <c r="W47" s="27">
        <v>7955.1374966000003</v>
      </c>
      <c r="X47" s="27">
        <v>7791.4341666800001</v>
      </c>
      <c r="Y47" s="27">
        <v>7785.7962586800004</v>
      </c>
      <c r="Z47" s="27">
        <v>8065.0809451699997</v>
      </c>
      <c r="AA47" s="27">
        <v>8222.9774950899991</v>
      </c>
      <c r="AB47" s="27">
        <v>8282.5788955000007</v>
      </c>
      <c r="AC47" s="27">
        <v>7811.7246590200002</v>
      </c>
      <c r="AD47" s="27">
        <v>7783.1051609799997</v>
      </c>
      <c r="AE47" s="27">
        <v>7900.0671541299998</v>
      </c>
      <c r="AF47" s="27">
        <v>7519.0308015099999</v>
      </c>
      <c r="AG47" s="27">
        <v>7545.1564596999997</v>
      </c>
      <c r="AH47" s="27">
        <v>7516.3612605400003</v>
      </c>
      <c r="AI47" s="27">
        <v>7474.0573292199997</v>
      </c>
      <c r="AJ47" s="27">
        <v>7516.8381605000004</v>
      </c>
      <c r="AK47" s="27">
        <v>6287.0396903299998</v>
      </c>
      <c r="AL47" s="27">
        <v>6297.5941304799999</v>
      </c>
      <c r="AM47" s="27">
        <v>6282.59401308</v>
      </c>
      <c r="AN47" s="27">
        <v>6233.3327671300003</v>
      </c>
      <c r="AO47" s="27">
        <v>6118.7691264900004</v>
      </c>
      <c r="AP47" s="27">
        <v>6248.0252655900003</v>
      </c>
      <c r="AQ47" s="27">
        <v>6277.26133028</v>
      </c>
      <c r="AR47" s="27">
        <v>6191.5186339399997</v>
      </c>
      <c r="AS47" s="27">
        <v>6203.2873026500001</v>
      </c>
      <c r="AT47" s="27">
        <v>6222.4024563299999</v>
      </c>
      <c r="AU47" s="27">
        <v>6308.4846471800001</v>
      </c>
      <c r="AV47" s="27">
        <v>6533.6170917600002</v>
      </c>
      <c r="AW47" s="27">
        <v>6241.6903769700002</v>
      </c>
      <c r="AX47" s="27">
        <v>6394.5427660100004</v>
      </c>
      <c r="AY47" s="27">
        <v>6350.4537543599999</v>
      </c>
      <c r="AZ47" s="27">
        <v>6136.7649077100004</v>
      </c>
      <c r="BA47" s="27">
        <v>6319.3603269599998</v>
      </c>
      <c r="BB47" s="27">
        <v>6331.5717953200001</v>
      </c>
      <c r="BC47" s="27">
        <v>6236.2554542500002</v>
      </c>
      <c r="BD47" s="27">
        <v>6270.0237818799997</v>
      </c>
      <c r="BE47" s="27">
        <v>6334.9020825400003</v>
      </c>
      <c r="BF47" s="27">
        <v>6293.8158793700004</v>
      </c>
      <c r="BG47" s="27">
        <v>6326.0178755799998</v>
      </c>
      <c r="BH47" s="27">
        <v>6565.68453451</v>
      </c>
      <c r="BI47" s="27">
        <v>4687.8860462499997</v>
      </c>
      <c r="BJ47" s="27">
        <v>4675.5477523199997</v>
      </c>
      <c r="BK47" s="27">
        <v>4053.1769955300001</v>
      </c>
      <c r="BL47" s="27">
        <v>4027.5263597600001</v>
      </c>
      <c r="BM47" s="27">
        <v>3942.50835921</v>
      </c>
      <c r="BN47" s="27">
        <v>3901.8481606999999</v>
      </c>
      <c r="BO47" s="27">
        <v>3992.69490163</v>
      </c>
      <c r="BP47" s="27">
        <v>4082.8205788400001</v>
      </c>
      <c r="BQ47" s="27">
        <v>4222.9001414300001</v>
      </c>
      <c r="BR47" s="27">
        <v>4883.0308896200004</v>
      </c>
      <c r="BS47" s="27">
        <v>4935.2393601900003</v>
      </c>
      <c r="BT47" s="27">
        <v>4994.1225045800002</v>
      </c>
      <c r="BU47" s="27">
        <v>5518.3253005799997</v>
      </c>
      <c r="BV47" s="27">
        <v>5510.8950339499997</v>
      </c>
      <c r="BW47" s="27">
        <v>5371.9914455999997</v>
      </c>
      <c r="BX47" s="27">
        <v>5905.40293896</v>
      </c>
      <c r="BY47" s="27">
        <v>5631.9749054100002</v>
      </c>
      <c r="BZ47" s="27">
        <v>5606.7285249300003</v>
      </c>
      <c r="CA47" s="27">
        <v>6072.5224009900003</v>
      </c>
      <c r="CB47" s="27">
        <v>6055.8192645400004</v>
      </c>
      <c r="CC47" s="27">
        <v>4748.1288113600003</v>
      </c>
      <c r="CD47" s="27">
        <v>4772.0144284099997</v>
      </c>
      <c r="CE47" s="27">
        <v>3984.8218709600001</v>
      </c>
      <c r="CF47" s="27">
        <v>4051.4835574200001</v>
      </c>
      <c r="CG47" s="27">
        <v>4028.7490578699999</v>
      </c>
      <c r="CH47" s="27">
        <v>3749.7328272999998</v>
      </c>
      <c r="CI47" s="27">
        <v>3836.9528178300002</v>
      </c>
      <c r="CJ47" s="27">
        <v>4724.7220936499998</v>
      </c>
      <c r="CK47" s="27">
        <v>4527.0583455799997</v>
      </c>
      <c r="CL47" s="27">
        <v>4205.8705754700004</v>
      </c>
      <c r="CM47" s="27">
        <v>4153.7536367800003</v>
      </c>
      <c r="CN47" s="27">
        <v>3552.25140392</v>
      </c>
      <c r="CO47" s="27">
        <v>4670.9411390300002</v>
      </c>
      <c r="CP47" s="27">
        <v>4126.82132533</v>
      </c>
      <c r="CQ47" s="27">
        <v>4327.5542108</v>
      </c>
      <c r="CR47" s="27">
        <v>4770.3294812800004</v>
      </c>
      <c r="CS47" s="27">
        <v>6372.5959585399996</v>
      </c>
      <c r="CT47" s="27">
        <v>5227.1468937700001</v>
      </c>
      <c r="CU47" s="27">
        <v>5059.5230112999998</v>
      </c>
      <c r="CV47" s="27">
        <v>7078.1067065099996</v>
      </c>
      <c r="CW47" s="27">
        <v>6572.6808654699998</v>
      </c>
      <c r="CX47" s="27">
        <v>6049.90704921</v>
      </c>
      <c r="CY47" s="27">
        <v>4954.8880311100002</v>
      </c>
      <c r="CZ47" s="27">
        <v>4773.8202264399997</v>
      </c>
      <c r="DA47" s="27">
        <v>4866.17035803</v>
      </c>
      <c r="DB47" s="27">
        <v>4955.9554253300003</v>
      </c>
      <c r="DC47" s="27">
        <v>4968.3874897100004</v>
      </c>
      <c r="DD47" s="27">
        <v>6380.3758214999998</v>
      </c>
      <c r="DE47" s="27">
        <v>5006.8197262699996</v>
      </c>
      <c r="DF47" s="27">
        <v>5169.9446932499995</v>
      </c>
      <c r="DG47" s="27">
        <v>5122.2685209399997</v>
      </c>
    </row>
    <row r="48" spans="1:111" s="113" customFormat="1" x14ac:dyDescent="0.3">
      <c r="A48" s="107" t="s">
        <v>27</v>
      </c>
      <c r="B48" s="108">
        <f t="shared" ref="B48:I48" si="10">IFERROR(100*(B47/B46),0)</f>
        <v>44.440972488759023</v>
      </c>
      <c r="C48" s="108">
        <f t="shared" si="10"/>
        <v>44.908457736798255</v>
      </c>
      <c r="D48" s="108">
        <f t="shared" si="10"/>
        <v>53.124926869890551</v>
      </c>
      <c r="E48" s="108">
        <f t="shared" si="10"/>
        <v>52.64516881771393</v>
      </c>
      <c r="F48" s="108">
        <f t="shared" si="10"/>
        <v>53.015127963424256</v>
      </c>
      <c r="G48" s="108">
        <f t="shared" si="10"/>
        <v>55.657858637226333</v>
      </c>
      <c r="H48" s="108">
        <f t="shared" si="10"/>
        <v>59.393208684575981</v>
      </c>
      <c r="I48" s="108">
        <f t="shared" si="10"/>
        <v>58.755826972055736</v>
      </c>
      <c r="J48" s="108">
        <v>58.465292378899392</v>
      </c>
      <c r="K48" s="108">
        <v>59.017165551356598</v>
      </c>
      <c r="L48" s="121">
        <v>58.808551080251597</v>
      </c>
      <c r="M48" s="110">
        <v>40.2664837625545</v>
      </c>
      <c r="N48" s="159">
        <v>40.567702180343296</v>
      </c>
      <c r="O48" s="110">
        <v>41.902294386757902</v>
      </c>
      <c r="P48" s="110">
        <v>36.525962737147303</v>
      </c>
      <c r="Q48" s="110">
        <v>37.025589118594901</v>
      </c>
      <c r="R48" s="110">
        <v>36.827371255752603</v>
      </c>
      <c r="S48" s="110">
        <v>35.537786982932097</v>
      </c>
      <c r="T48" s="110">
        <v>36.154666372539303</v>
      </c>
      <c r="U48" s="110">
        <v>37.622503985252997</v>
      </c>
      <c r="V48" s="110">
        <v>36.9214702829209</v>
      </c>
      <c r="W48" s="110">
        <v>36.213453528925598</v>
      </c>
      <c r="X48" s="110">
        <v>35.706803376400003</v>
      </c>
      <c r="Y48" s="110">
        <v>38.808309746548801</v>
      </c>
      <c r="Z48" s="110">
        <v>40.2990318793805</v>
      </c>
      <c r="AA48" s="110">
        <v>42.525027026817803</v>
      </c>
      <c r="AB48" s="110">
        <v>44.363953114565298</v>
      </c>
      <c r="AC48" s="110">
        <v>41.047387574725697</v>
      </c>
      <c r="AD48" s="110">
        <v>42.7634380869372</v>
      </c>
      <c r="AE48" s="110">
        <v>43.251259164135199</v>
      </c>
      <c r="AF48" s="110">
        <v>41.809849491564897</v>
      </c>
      <c r="AG48" s="110">
        <v>41.227885564098798</v>
      </c>
      <c r="AH48" s="110">
        <v>41.559284229390698</v>
      </c>
      <c r="AI48" s="110">
        <v>42.421619850990197</v>
      </c>
      <c r="AJ48" s="110">
        <v>42.223292073796202</v>
      </c>
      <c r="AK48" s="110">
        <v>37.187671044739801</v>
      </c>
      <c r="AL48" s="110">
        <v>37.663342421043602</v>
      </c>
      <c r="AM48" s="110">
        <v>37.818330974167999</v>
      </c>
      <c r="AN48" s="110">
        <v>37.9391445372598</v>
      </c>
      <c r="AO48" s="110">
        <v>37.441815689422</v>
      </c>
      <c r="AP48" s="110">
        <v>38.968545551655403</v>
      </c>
      <c r="AQ48" s="110">
        <v>38.118352172118897</v>
      </c>
      <c r="AR48" s="110">
        <v>38.662477202993799</v>
      </c>
      <c r="AS48" s="110">
        <v>36.860584097770897</v>
      </c>
      <c r="AT48" s="110">
        <v>37.027794863303697</v>
      </c>
      <c r="AU48" s="110">
        <v>36.944217860166503</v>
      </c>
      <c r="AV48" s="110">
        <v>37.642076715070097</v>
      </c>
      <c r="AW48" s="110">
        <v>37.210902474163703</v>
      </c>
      <c r="AX48" s="110">
        <v>38.940976950101501</v>
      </c>
      <c r="AY48" s="110">
        <v>36.565161711680098</v>
      </c>
      <c r="AZ48" s="110">
        <v>36.1024640179239</v>
      </c>
      <c r="BA48" s="110">
        <v>37.860876079897103</v>
      </c>
      <c r="BB48" s="110">
        <v>37.8422640309645</v>
      </c>
      <c r="BC48" s="110">
        <v>37.107037150338201</v>
      </c>
      <c r="BD48" s="110">
        <v>37.472097424975999</v>
      </c>
      <c r="BE48" s="110">
        <v>37.500480398316903</v>
      </c>
      <c r="BF48" s="110">
        <v>36.968705999477002</v>
      </c>
      <c r="BG48" s="110">
        <v>35.840813047859399</v>
      </c>
      <c r="BH48" s="110">
        <v>37.344384327909403</v>
      </c>
      <c r="BI48" s="110">
        <v>28.064679074578802</v>
      </c>
      <c r="BJ48" s="110">
        <v>27.6498238051756</v>
      </c>
      <c r="BK48" s="110">
        <v>20.833823169494629</v>
      </c>
      <c r="BL48" s="110">
        <v>25.447895660047902</v>
      </c>
      <c r="BM48" s="110">
        <v>24.6029379364441</v>
      </c>
      <c r="BN48" s="110">
        <v>24.4008367652545</v>
      </c>
      <c r="BO48" s="110">
        <v>24.300513983231902</v>
      </c>
      <c r="BP48" s="110">
        <v>24.434114822405199</v>
      </c>
      <c r="BQ48" s="110">
        <v>25.5675832419284</v>
      </c>
      <c r="BR48" s="110">
        <v>28.653636863043999</v>
      </c>
      <c r="BS48" s="110">
        <v>29.384261669614101</v>
      </c>
      <c r="BT48" s="110">
        <v>28.485548438676101</v>
      </c>
      <c r="BU48" s="110">
        <v>29.516090265168199</v>
      </c>
      <c r="BV48" s="110">
        <v>29.275975007065199</v>
      </c>
      <c r="BW48" s="110">
        <v>29.976872651444399</v>
      </c>
      <c r="BX48" s="110">
        <v>31.0476153568226</v>
      </c>
      <c r="BY48" s="110">
        <v>29.599188834633001</v>
      </c>
      <c r="BZ48" s="110">
        <v>31.302997756982101</v>
      </c>
      <c r="CA48" s="110">
        <v>34.726185632038003</v>
      </c>
      <c r="CB48" s="110">
        <v>34.4249053861463</v>
      </c>
      <c r="CC48" s="110">
        <v>27.657134541332599</v>
      </c>
      <c r="CD48" s="110">
        <v>27.8444973801831</v>
      </c>
      <c r="CE48" s="110">
        <v>23.887102905807598</v>
      </c>
      <c r="CF48" s="110">
        <v>23.9815551696353</v>
      </c>
      <c r="CG48" s="110">
        <v>23.923543915016602</v>
      </c>
      <c r="CH48" s="110">
        <v>23.381342758956901</v>
      </c>
      <c r="CI48" s="110">
        <v>23.613080855344801</v>
      </c>
      <c r="CJ48" s="110">
        <v>27.801294721476602</v>
      </c>
      <c r="CK48" s="110">
        <v>28.155376440870601</v>
      </c>
      <c r="CL48" s="110">
        <v>25.640464605370799</v>
      </c>
      <c r="CM48" s="110">
        <v>25.340720194029402</v>
      </c>
      <c r="CN48" s="110">
        <v>22.599076835156001</v>
      </c>
      <c r="CO48" s="110">
        <v>28.1030536077782</v>
      </c>
      <c r="CP48" s="110">
        <v>25.491245582555798</v>
      </c>
      <c r="CQ48" s="110">
        <v>26.728577164795201</v>
      </c>
      <c r="CR48" s="110">
        <v>27.6394093897235</v>
      </c>
      <c r="CS48" s="110">
        <v>34.073240243192799</v>
      </c>
      <c r="CT48" s="110">
        <v>28.6705854619685</v>
      </c>
      <c r="CU48" s="110">
        <v>28.2677448301685</v>
      </c>
      <c r="CV48" s="110">
        <v>38.772505139157403</v>
      </c>
      <c r="CW48" s="110">
        <v>36.041826737436502</v>
      </c>
      <c r="CX48" s="110">
        <v>33.218587371583901</v>
      </c>
      <c r="CY48" s="110">
        <v>29.8650859097406</v>
      </c>
      <c r="CZ48" s="110">
        <v>28.8899974008025</v>
      </c>
      <c r="DA48" s="110">
        <v>25.4292724135477</v>
      </c>
      <c r="DB48" s="110">
        <v>25.230084068888001</v>
      </c>
      <c r="DC48" s="110">
        <v>25.075965288183198</v>
      </c>
      <c r="DD48" s="110">
        <v>29.423196381488999</v>
      </c>
      <c r="DE48" s="110">
        <v>25.560514632597201</v>
      </c>
      <c r="DF48" s="110">
        <v>25.559294192836099</v>
      </c>
      <c r="DG48" s="110">
        <v>24.550708197096998</v>
      </c>
    </row>
    <row r="49" spans="1:111" x14ac:dyDescent="0.3">
      <c r="A49" s="162" t="s">
        <v>28</v>
      </c>
      <c r="B49" s="105"/>
      <c r="C49" s="105"/>
      <c r="D49" s="105"/>
      <c r="E49" s="105"/>
      <c r="F49" s="105"/>
      <c r="G49" s="105"/>
      <c r="H49" s="105"/>
      <c r="I49" s="105"/>
      <c r="J49" s="102"/>
      <c r="K49" s="102"/>
      <c r="L49" s="102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1"/>
      <c r="BV49" s="161"/>
      <c r="BW49" s="161"/>
      <c r="BX49" s="161"/>
      <c r="BY49" s="161"/>
      <c r="BZ49" s="161"/>
      <c r="CA49" s="161"/>
      <c r="CB49" s="161"/>
      <c r="CC49" s="161"/>
      <c r="CD49" s="161"/>
      <c r="CE49" s="161"/>
      <c r="CF49" s="161"/>
      <c r="CG49" s="161"/>
      <c r="CH49" s="161"/>
      <c r="CI49" s="161"/>
      <c r="CJ49" s="161"/>
      <c r="CK49" s="161"/>
      <c r="CL49" s="161"/>
      <c r="CM49" s="161"/>
      <c r="CN49" s="161"/>
      <c r="CO49" s="161"/>
      <c r="CP49" s="161"/>
      <c r="CQ49" s="161"/>
      <c r="CR49" s="161"/>
      <c r="CS49" s="161"/>
      <c r="CT49" s="161"/>
      <c r="CU49" s="161"/>
      <c r="CV49" s="161"/>
      <c r="CW49" s="161"/>
      <c r="CX49" s="161"/>
      <c r="CY49" s="161"/>
      <c r="CZ49" s="161"/>
      <c r="DA49" s="161"/>
      <c r="DB49" s="161"/>
      <c r="DC49" s="161"/>
      <c r="DD49" s="161"/>
      <c r="DE49" s="161"/>
      <c r="DF49" s="161"/>
      <c r="DG49" s="161"/>
    </row>
    <row r="50" spans="1:111" s="30" customFormat="1" x14ac:dyDescent="0.3">
      <c r="A50" s="48" t="s">
        <v>28</v>
      </c>
      <c r="B50" s="25">
        <v>159018.70985377999</v>
      </c>
      <c r="C50" s="25">
        <v>249008.46713343999</v>
      </c>
      <c r="D50" s="25">
        <v>288617.6776225901</v>
      </c>
      <c r="E50" s="25">
        <v>287151.41587924998</v>
      </c>
      <c r="F50" s="25">
        <v>291168.77031389996</v>
      </c>
      <c r="G50" s="25">
        <v>282903.50093567994</v>
      </c>
      <c r="H50" s="25">
        <v>305312.94596007018</v>
      </c>
      <c r="I50" s="25">
        <v>285234.83052517008</v>
      </c>
      <c r="J50" s="25">
        <v>290789.04310894018</v>
      </c>
      <c r="K50" s="25">
        <v>290936.66378392</v>
      </c>
      <c r="L50" s="25">
        <v>289542.96205288998</v>
      </c>
      <c r="M50" s="27">
        <v>338887.54384930001</v>
      </c>
      <c r="N50" s="27">
        <v>358240.60060288</v>
      </c>
      <c r="O50" s="42">
        <v>347469.03193210001</v>
      </c>
      <c r="P50" s="42">
        <v>360164.17915441003</v>
      </c>
      <c r="Q50" s="42">
        <v>357184.29938226001</v>
      </c>
      <c r="R50" s="42">
        <v>366710.67170234001</v>
      </c>
      <c r="S50" s="42">
        <v>382644.60178217001</v>
      </c>
      <c r="T50" s="42">
        <v>385969.64073519001</v>
      </c>
      <c r="U50" s="42">
        <v>355197.02855806</v>
      </c>
      <c r="V50" s="42">
        <v>357455.66606252</v>
      </c>
      <c r="W50" s="42">
        <v>358366.85867839999</v>
      </c>
      <c r="X50" s="42">
        <v>338717.68549663998</v>
      </c>
      <c r="Y50" s="42">
        <v>387616.01907326002</v>
      </c>
      <c r="Z50" s="42">
        <v>397052.73823853</v>
      </c>
      <c r="AA50" s="42">
        <v>398980.57313842</v>
      </c>
      <c r="AB50" s="42">
        <v>393818.01960835001</v>
      </c>
      <c r="AC50" s="42">
        <v>385960.34607159998</v>
      </c>
      <c r="AD50" s="42">
        <v>387979.25189983001</v>
      </c>
      <c r="AE50" s="42">
        <v>376934.20450286003</v>
      </c>
      <c r="AF50" s="42">
        <v>375594.49483414</v>
      </c>
      <c r="AG50" s="42">
        <v>365742.10572454002</v>
      </c>
      <c r="AH50" s="42">
        <v>382490.79654986999</v>
      </c>
      <c r="AI50" s="42">
        <v>391511.0181174</v>
      </c>
      <c r="AJ50" s="42">
        <v>392496.07360167999</v>
      </c>
      <c r="AK50" s="42">
        <v>459718.29695701</v>
      </c>
      <c r="AL50" s="42">
        <v>484233.62051071</v>
      </c>
      <c r="AM50" s="42">
        <v>494090.58019769</v>
      </c>
      <c r="AN50" s="42">
        <v>452148.05793701002</v>
      </c>
      <c r="AO50" s="42">
        <v>488778.79381046002</v>
      </c>
      <c r="AP50" s="42">
        <v>530400.32805760996</v>
      </c>
      <c r="AQ50" s="42">
        <v>526050.64555029001</v>
      </c>
      <c r="AR50" s="42">
        <v>533306.17723091005</v>
      </c>
      <c r="AS50" s="42">
        <v>539973.79135614005</v>
      </c>
      <c r="AT50" s="42">
        <v>568892.80107814004</v>
      </c>
      <c r="AU50" s="42">
        <v>587433.63231460995</v>
      </c>
      <c r="AV50" s="42">
        <v>597933.71343238</v>
      </c>
      <c r="AW50" s="42">
        <v>694332.96031870996</v>
      </c>
      <c r="AX50" s="42">
        <v>669870.25494586001</v>
      </c>
      <c r="AY50" s="42">
        <v>671055.18358017004</v>
      </c>
      <c r="AZ50" s="42">
        <v>675835.03678314004</v>
      </c>
      <c r="BA50" s="42">
        <v>685327.34326562996</v>
      </c>
      <c r="BB50" s="42">
        <v>663221.20573302999</v>
      </c>
      <c r="BC50" s="42">
        <v>666528.64365166996</v>
      </c>
      <c r="BD50" s="42">
        <v>672368.37271320005</v>
      </c>
      <c r="BE50" s="42">
        <v>623181.34888205002</v>
      </c>
      <c r="BF50" s="42">
        <v>651256.15263657004</v>
      </c>
      <c r="BG50" s="42">
        <v>664681.20537128998</v>
      </c>
      <c r="BH50" s="42">
        <v>654348.57157135999</v>
      </c>
      <c r="BI50" s="42">
        <v>766394.52287494997</v>
      </c>
      <c r="BJ50" s="42">
        <v>687094.99391564995</v>
      </c>
      <c r="BK50" s="42">
        <v>605277.25432393001</v>
      </c>
      <c r="BL50" s="42">
        <v>695212.59239808004</v>
      </c>
      <c r="BM50" s="42">
        <v>720571.68185843003</v>
      </c>
      <c r="BN50" s="42">
        <v>709884.97069905</v>
      </c>
      <c r="BO50" s="42">
        <v>721746.13784712995</v>
      </c>
      <c r="BP50" s="42">
        <v>745914.58494563994</v>
      </c>
      <c r="BQ50" s="42">
        <v>742194.42224972998</v>
      </c>
      <c r="BR50" s="42">
        <v>778828.78022404003</v>
      </c>
      <c r="BS50" s="42">
        <v>837513.38499572</v>
      </c>
      <c r="BT50" s="42">
        <v>868729.68185226002</v>
      </c>
      <c r="BU50" s="42">
        <v>962889.50784039998</v>
      </c>
      <c r="BV50" s="42">
        <v>898516.38741550001</v>
      </c>
      <c r="BW50" s="42">
        <v>905920.21924795001</v>
      </c>
      <c r="BX50" s="42">
        <v>917922.47556021996</v>
      </c>
      <c r="BY50" s="42">
        <v>990986.11350929004</v>
      </c>
      <c r="BZ50" s="42">
        <v>995985.07625102997</v>
      </c>
      <c r="CA50" s="42">
        <v>1053842.3891358301</v>
      </c>
      <c r="CB50" s="42">
        <v>1085851.39405754</v>
      </c>
      <c r="CC50" s="42">
        <v>1104957.2832718601</v>
      </c>
      <c r="CD50" s="42">
        <v>1126261.4435900201</v>
      </c>
      <c r="CE50" s="42">
        <v>1133016.2699490001</v>
      </c>
      <c r="CF50" s="42">
        <v>1184935.8044481899</v>
      </c>
      <c r="CG50" s="42">
        <v>1312243.2776528799</v>
      </c>
      <c r="CH50" s="42">
        <v>1265909.3393092901</v>
      </c>
      <c r="CI50" s="42">
        <v>1266862.52658708</v>
      </c>
      <c r="CJ50" s="42">
        <v>1279854.96894409</v>
      </c>
      <c r="CK50" s="42">
        <v>1249943.0937517099</v>
      </c>
      <c r="CL50" s="42">
        <v>1314784.8719657201</v>
      </c>
      <c r="CM50" s="42">
        <v>1289725.2957708801</v>
      </c>
      <c r="CN50" s="42">
        <v>1303740.2292795801</v>
      </c>
      <c r="CO50" s="42">
        <v>1302769.4779754099</v>
      </c>
      <c r="CP50" s="42">
        <v>1296738.2822287099</v>
      </c>
      <c r="CQ50" s="42">
        <v>1322070.3480845499</v>
      </c>
      <c r="CR50" s="42">
        <v>1352556.8044090699</v>
      </c>
      <c r="CS50" s="42">
        <v>1487192.1998459001</v>
      </c>
      <c r="CT50" s="42">
        <v>1456159.36218659</v>
      </c>
      <c r="CU50" s="42">
        <v>1464448.2835454401</v>
      </c>
      <c r="CV50" s="42">
        <v>1467124.36046205</v>
      </c>
      <c r="CW50" s="42">
        <v>1514276.2378209999</v>
      </c>
      <c r="CX50" s="42">
        <v>1446307.9602291801</v>
      </c>
      <c r="CY50" s="42">
        <v>1457732.22625752</v>
      </c>
      <c r="CZ50" s="42">
        <v>1417571.9982211599</v>
      </c>
      <c r="DA50" s="42">
        <v>1407332.1551349701</v>
      </c>
      <c r="DB50" s="42">
        <v>1468923.0627872699</v>
      </c>
      <c r="DC50" s="42">
        <v>1495228.9714973599</v>
      </c>
      <c r="DD50" s="42">
        <v>1512592.60217131</v>
      </c>
      <c r="DE50" s="42">
        <v>1754444.90192507</v>
      </c>
      <c r="DF50" s="42">
        <v>1595586.6826609201</v>
      </c>
      <c r="DG50" s="42">
        <v>1646626.92448688</v>
      </c>
    </row>
    <row r="51" spans="1:111" s="30" customFormat="1" x14ac:dyDescent="0.3">
      <c r="A51" s="31" t="s">
        <v>26</v>
      </c>
      <c r="B51" s="25">
        <v>1205.6160342199996</v>
      </c>
      <c r="C51" s="25">
        <v>7128.0439937199981</v>
      </c>
      <c r="D51" s="25">
        <v>5689.9274885699997</v>
      </c>
      <c r="E51" s="25">
        <v>5530.2227762600005</v>
      </c>
      <c r="F51" s="25">
        <v>5455.0718956800001</v>
      </c>
      <c r="G51" s="25">
        <v>5472.1964336899982</v>
      </c>
      <c r="H51" s="25">
        <v>5472.9741588599991</v>
      </c>
      <c r="I51" s="25">
        <v>5468.1280237399988</v>
      </c>
      <c r="J51" s="26">
        <v>5464.0626979099998</v>
      </c>
      <c r="K51" s="26">
        <v>5609.0237585599998</v>
      </c>
      <c r="L51" s="26">
        <v>5150.0639024399998</v>
      </c>
      <c r="M51" s="29">
        <v>5018.5428042599997</v>
      </c>
      <c r="N51" s="29">
        <v>4786.5854096900002</v>
      </c>
      <c r="O51" s="28">
        <v>4785.5016682799996</v>
      </c>
      <c r="P51" s="28">
        <v>4720.1095584100003</v>
      </c>
      <c r="Q51" s="28">
        <v>4705.0414437299996</v>
      </c>
      <c r="R51" s="28">
        <v>4705.4758025600004</v>
      </c>
      <c r="S51" s="28">
        <v>4705.7978498599996</v>
      </c>
      <c r="T51" s="28">
        <v>4706.07749358</v>
      </c>
      <c r="U51" s="28">
        <v>4674.1088363899999</v>
      </c>
      <c r="V51" s="28">
        <v>4671.8433555199999</v>
      </c>
      <c r="W51" s="28">
        <v>4669.3539080600003</v>
      </c>
      <c r="X51" s="28">
        <v>4672.8813144100004</v>
      </c>
      <c r="Y51" s="28">
        <v>4647.9023412099996</v>
      </c>
      <c r="Z51" s="28">
        <v>4719.60353966</v>
      </c>
      <c r="AA51" s="28">
        <v>4719.6294957299997</v>
      </c>
      <c r="AB51" s="28">
        <v>4642.6619737199999</v>
      </c>
      <c r="AC51" s="28">
        <v>4645.4171636199999</v>
      </c>
      <c r="AD51" s="28">
        <v>4641.0807524299998</v>
      </c>
      <c r="AE51" s="28">
        <v>4637.4388952500003</v>
      </c>
      <c r="AF51" s="28">
        <v>4637.2810165000001</v>
      </c>
      <c r="AG51" s="28">
        <v>4637.4639623900002</v>
      </c>
      <c r="AH51" s="28">
        <v>4574.6273164000004</v>
      </c>
      <c r="AI51" s="28">
        <v>4573.9058138</v>
      </c>
      <c r="AJ51" s="28">
        <v>4555.99204577</v>
      </c>
      <c r="AK51" s="28">
        <v>4487.1072185800003</v>
      </c>
      <c r="AL51" s="28">
        <v>4486.20590825</v>
      </c>
      <c r="AM51" s="28">
        <v>4486.6992282399997</v>
      </c>
      <c r="AN51" s="28">
        <v>4486.7007748300002</v>
      </c>
      <c r="AO51" s="28">
        <v>4487.1956021400001</v>
      </c>
      <c r="AP51" s="28">
        <v>4487.2264412100003</v>
      </c>
      <c r="AQ51" s="28">
        <v>4488.7224708499998</v>
      </c>
      <c r="AR51" s="28">
        <v>4489.5110575099998</v>
      </c>
      <c r="AS51" s="28">
        <v>5097.6915291799996</v>
      </c>
      <c r="AT51" s="28">
        <v>4429.85627062</v>
      </c>
      <c r="AU51" s="28">
        <v>4429.8561487899997</v>
      </c>
      <c r="AV51" s="28">
        <v>4428.8494778900003</v>
      </c>
      <c r="AW51" s="28">
        <v>4911.4257481499999</v>
      </c>
      <c r="AX51" s="28">
        <v>4883.85650635</v>
      </c>
      <c r="AY51" s="28">
        <v>4865.1494580199997</v>
      </c>
      <c r="AZ51" s="28">
        <v>4861.06645518</v>
      </c>
      <c r="BA51" s="28">
        <v>5934.3958305100005</v>
      </c>
      <c r="BB51" s="28">
        <v>5920.0353043699997</v>
      </c>
      <c r="BC51" s="28">
        <v>5927.9707928799999</v>
      </c>
      <c r="BD51" s="28">
        <v>4992.7684840499996</v>
      </c>
      <c r="BE51" s="28">
        <v>5011.1974286100003</v>
      </c>
      <c r="BF51" s="28">
        <v>4975.0250960699996</v>
      </c>
      <c r="BG51" s="28">
        <v>4904.9610767900003</v>
      </c>
      <c r="BH51" s="28">
        <v>1948.6678160500001</v>
      </c>
      <c r="BI51" s="28">
        <v>1897.5711883199999</v>
      </c>
      <c r="BJ51" s="28">
        <v>1912.4050654099999</v>
      </c>
      <c r="BK51" s="28">
        <v>1926.8434806500002</v>
      </c>
      <c r="BL51" s="28">
        <v>1940.85274293</v>
      </c>
      <c r="BM51" s="28">
        <v>1954.40126345</v>
      </c>
      <c r="BN51" s="28">
        <v>1970.45773762</v>
      </c>
      <c r="BO51" s="28">
        <v>2458.05335857</v>
      </c>
      <c r="BP51" s="28">
        <v>3219.1677680799999</v>
      </c>
      <c r="BQ51" s="28">
        <v>3248.9997434799998</v>
      </c>
      <c r="BR51" s="28">
        <v>3507.4220113800002</v>
      </c>
      <c r="BS51" s="28">
        <v>3646.8061347299999</v>
      </c>
      <c r="BT51" s="28">
        <v>3050.2833003199999</v>
      </c>
      <c r="BU51" s="28">
        <v>3027.40615725</v>
      </c>
      <c r="BV51" s="28">
        <v>3064.2001467800001</v>
      </c>
      <c r="BW51" s="28">
        <v>2860.3440705600001</v>
      </c>
      <c r="BX51" s="28">
        <v>2893.4662457200002</v>
      </c>
      <c r="BY51" s="28">
        <v>2929.0002909300001</v>
      </c>
      <c r="BZ51" s="28">
        <v>2751.84101934</v>
      </c>
      <c r="CA51" s="28">
        <v>2781.3235393999998</v>
      </c>
      <c r="CB51" s="28">
        <v>1981.34682881</v>
      </c>
      <c r="CC51" s="28">
        <v>1998.43237669</v>
      </c>
      <c r="CD51" s="28">
        <v>1945.6582378999999</v>
      </c>
      <c r="CE51" s="28">
        <v>1935.1819633699999</v>
      </c>
      <c r="CF51" s="28">
        <v>1950.8583133</v>
      </c>
      <c r="CG51" s="28">
        <v>1130.94977703</v>
      </c>
      <c r="CH51" s="28">
        <v>1140.3241493099999</v>
      </c>
      <c r="CI51" s="28">
        <v>1121.68931331</v>
      </c>
      <c r="CJ51" s="28">
        <v>1128.2509350099999</v>
      </c>
      <c r="CK51" s="28">
        <v>1130.3631272499999</v>
      </c>
      <c r="CL51" s="28">
        <v>1139.7073162900001</v>
      </c>
      <c r="CM51" s="28">
        <v>1128.32046698</v>
      </c>
      <c r="CN51" s="28">
        <v>1135.46522641</v>
      </c>
      <c r="CO51" s="28">
        <v>1137.92241395</v>
      </c>
      <c r="CP51" s="28">
        <v>1134.1457903999999</v>
      </c>
      <c r="CQ51" s="28">
        <v>1132.9350064800001</v>
      </c>
      <c r="CR51" s="28">
        <v>1118.4438611099999</v>
      </c>
      <c r="CS51" s="28">
        <v>1129.1642751899999</v>
      </c>
      <c r="CT51" s="28">
        <v>1181.39664898</v>
      </c>
      <c r="CU51" s="28">
        <v>1189.8333826200001</v>
      </c>
      <c r="CV51" s="28">
        <v>1215.3097779699999</v>
      </c>
      <c r="CW51" s="28">
        <v>1200.56877158</v>
      </c>
      <c r="CX51" s="28">
        <v>1185.8448733800001</v>
      </c>
      <c r="CY51" s="28">
        <v>1190.7974675800001</v>
      </c>
      <c r="CZ51" s="28">
        <v>1200.28081157</v>
      </c>
      <c r="DA51" s="28">
        <v>1205.5368875199999</v>
      </c>
      <c r="DB51" s="28">
        <v>1210.49007998</v>
      </c>
      <c r="DC51" s="28">
        <v>5317.2959523199997</v>
      </c>
      <c r="DD51" s="28">
        <v>1186.8647327199999</v>
      </c>
      <c r="DE51" s="28">
        <v>4532.7571226700002</v>
      </c>
      <c r="DF51" s="28">
        <v>7031.69864934</v>
      </c>
      <c r="DG51" s="28">
        <v>1219.7357288999999</v>
      </c>
    </row>
    <row r="52" spans="1:111" s="113" customFormat="1" x14ac:dyDescent="0.3">
      <c r="A52" s="107" t="s">
        <v>27</v>
      </c>
      <c r="B52" s="108">
        <f t="shared" ref="B52:I52" si="11">IFERROR(100*(B51/B50),0)</f>
        <v>0.7581598639107191</v>
      </c>
      <c r="C52" s="108">
        <f t="shared" si="11"/>
        <v>2.8625709301283253</v>
      </c>
      <c r="D52" s="108">
        <f t="shared" si="11"/>
        <v>1.971441089623905</v>
      </c>
      <c r="E52" s="108">
        <f t="shared" si="11"/>
        <v>1.9258908263873977</v>
      </c>
      <c r="F52" s="108">
        <f t="shared" si="11"/>
        <v>1.8735085805387224</v>
      </c>
      <c r="G52" s="108">
        <f t="shared" si="11"/>
        <v>1.9342978844698495</v>
      </c>
      <c r="H52" s="108">
        <f t="shared" si="11"/>
        <v>1.7925784776829516</v>
      </c>
      <c r="I52" s="108">
        <f t="shared" si="11"/>
        <v>1.9170618166344424</v>
      </c>
      <c r="J52" s="121">
        <v>1.8790469680327544</v>
      </c>
      <c r="K52" s="121">
        <v>1.9279191854368201</v>
      </c>
      <c r="L52" s="121">
        <v>1.7786873028878001</v>
      </c>
      <c r="M52" s="110">
        <v>1.4808873608207</v>
      </c>
      <c r="N52" s="110">
        <v>1.3361370547153799</v>
      </c>
      <c r="O52" s="159">
        <v>1.37724551787255</v>
      </c>
      <c r="P52" s="159">
        <v>1.3105438662700499</v>
      </c>
      <c r="Q52" s="159">
        <v>1.31725875181726</v>
      </c>
      <c r="R52" s="159">
        <v>1.2831575859836</v>
      </c>
      <c r="S52" s="159">
        <v>1.22980902590621</v>
      </c>
      <c r="T52" s="159">
        <v>1.2192869585846</v>
      </c>
      <c r="U52" s="159">
        <v>1.3159200276434699</v>
      </c>
      <c r="V52" s="159">
        <v>1.306971409065</v>
      </c>
      <c r="W52" s="159">
        <v>1.30295360605605</v>
      </c>
      <c r="X52" s="159">
        <v>1.3795799612761399</v>
      </c>
      <c r="Y52" s="159">
        <v>1.19909965339475</v>
      </c>
      <c r="Z52" s="159">
        <v>1.18865910876169</v>
      </c>
      <c r="AA52" s="159">
        <v>1.1829221304197699</v>
      </c>
      <c r="AB52" s="159">
        <v>1.1788851049368201</v>
      </c>
      <c r="AC52" s="159">
        <v>1.2035995953735199</v>
      </c>
      <c r="AD52" s="159">
        <v>1.19621880028478</v>
      </c>
      <c r="AE52" s="159">
        <v>1.2303046101550601</v>
      </c>
      <c r="AF52" s="159">
        <v>1.23465095476114</v>
      </c>
      <c r="AG52" s="159">
        <v>1.26796009805957</v>
      </c>
      <c r="AH52" s="159">
        <v>1.19600977531065</v>
      </c>
      <c r="AI52" s="159">
        <v>1.1682700108400099</v>
      </c>
      <c r="AJ52" s="159">
        <v>1.1607739165293101</v>
      </c>
      <c r="AK52" s="159">
        <v>0.97605582555257897</v>
      </c>
      <c r="AL52" s="159">
        <v>0.92645485943716599</v>
      </c>
      <c r="AM52" s="159">
        <v>0.90807220539295297</v>
      </c>
      <c r="AN52" s="159">
        <v>0.99230787262500098</v>
      </c>
      <c r="AO52" s="159">
        <v>0.91804220210913201</v>
      </c>
      <c r="AP52" s="159">
        <v>0.84600747847249003</v>
      </c>
      <c r="AQ52" s="159">
        <v>0.85328713286806201</v>
      </c>
      <c r="AR52" s="159">
        <v>0.84182618712967605</v>
      </c>
      <c r="AS52" s="159">
        <v>0.94406276948686496</v>
      </c>
      <c r="AT52" s="159">
        <v>0.77868031766700796</v>
      </c>
      <c r="AU52" s="159">
        <v>0.75410325611345297</v>
      </c>
      <c r="AV52" s="159">
        <v>0.74069238418864602</v>
      </c>
      <c r="AW52" s="159">
        <v>0.70735886510350499</v>
      </c>
      <c r="AX52" s="159">
        <v>0.72907499180490098</v>
      </c>
      <c r="AY52" s="159">
        <v>0.72499990717064</v>
      </c>
      <c r="AZ52" s="159">
        <v>0.71926819277051002</v>
      </c>
      <c r="BA52" s="159">
        <v>0.86592135697259798</v>
      </c>
      <c r="BB52" s="159">
        <v>0.89261851900933098</v>
      </c>
      <c r="BC52" s="159">
        <v>0.88937975124411595</v>
      </c>
      <c r="BD52" s="159">
        <v>0.74256444631723895</v>
      </c>
      <c r="BE52" s="159">
        <v>0.80413148397329104</v>
      </c>
      <c r="BF52" s="159">
        <v>0.76391218354389701</v>
      </c>
      <c r="BG52" s="159">
        <v>0.73794189412202404</v>
      </c>
      <c r="BH52" s="159">
        <v>0.29780271566429001</v>
      </c>
      <c r="BI52" s="159">
        <v>0.24759717504265399</v>
      </c>
      <c r="BJ52" s="159">
        <v>0.27833197481348199</v>
      </c>
      <c r="BK52" s="159">
        <v>0.31834063925005834</v>
      </c>
      <c r="BL52" s="159">
        <v>0.27917399140242599</v>
      </c>
      <c r="BM52" s="159">
        <v>0.271229263188555</v>
      </c>
      <c r="BN52" s="159">
        <v>0.277574229481097</v>
      </c>
      <c r="BO52" s="159">
        <v>0.34057035149533799</v>
      </c>
      <c r="BP52" s="159">
        <v>0.43157324351213799</v>
      </c>
      <c r="BQ52" s="159">
        <v>0.43775588256668302</v>
      </c>
      <c r="BR52" s="159">
        <v>0.45034571146318497</v>
      </c>
      <c r="BS52" s="159">
        <v>0.43543257935497198</v>
      </c>
      <c r="BT52" s="159">
        <v>0.35111995872137602</v>
      </c>
      <c r="BU52" s="159">
        <v>0.31440846873905198</v>
      </c>
      <c r="BV52" s="159">
        <v>0.341028854865284</v>
      </c>
      <c r="BW52" s="159">
        <v>0.31573906948831698</v>
      </c>
      <c r="BX52" s="159">
        <v>0.31521902151421699</v>
      </c>
      <c r="BY52" s="159">
        <v>0.29556421134477801</v>
      </c>
      <c r="BZ52" s="159">
        <v>0.27629339886277798</v>
      </c>
      <c r="CA52" s="159">
        <v>0.26392215459094798</v>
      </c>
      <c r="CB52" s="159">
        <v>0.18246942810528</v>
      </c>
      <c r="CC52" s="159">
        <v>0.180860600400089</v>
      </c>
      <c r="CD52" s="159">
        <v>0.172753693112152</v>
      </c>
      <c r="CE52" s="159">
        <v>0.17079913278360101</v>
      </c>
      <c r="CF52" s="159">
        <v>0.16463831255470299</v>
      </c>
      <c r="CG52" s="159">
        <v>8.61844595655199E-2</v>
      </c>
      <c r="CH52" s="159">
        <v>9.0079448338076698E-2</v>
      </c>
      <c r="CI52" s="159">
        <v>8.8540728750721207E-2</v>
      </c>
      <c r="CJ52" s="159">
        <v>8.8154592698954995E-2</v>
      </c>
      <c r="CK52" s="159">
        <v>9.0433167149810798E-2</v>
      </c>
      <c r="CL52" s="159">
        <v>8.6683938991938395E-2</v>
      </c>
      <c r="CM52" s="159">
        <v>8.7485332782094E-2</v>
      </c>
      <c r="CN52" s="159">
        <v>8.7092904008755995E-2</v>
      </c>
      <c r="CO52" s="159">
        <v>8.7346413405263904E-2</v>
      </c>
      <c r="CP52" s="159">
        <v>8.7461425789847003E-2</v>
      </c>
      <c r="CQ52" s="159">
        <v>8.5694003206518099E-2</v>
      </c>
      <c r="CR52" s="159">
        <v>8.2691082360762405E-2</v>
      </c>
      <c r="CS52" s="159">
        <v>7.5925914303948197E-2</v>
      </c>
      <c r="CT52" s="159">
        <v>8.1130999783292801E-2</v>
      </c>
      <c r="CU52" s="159">
        <v>8.1247893557524903E-2</v>
      </c>
      <c r="CV52" s="159">
        <v>8.2836180130446205E-2</v>
      </c>
      <c r="CW52" s="159">
        <v>7.9283339564753696E-2</v>
      </c>
      <c r="CX52" s="159">
        <v>8.1991173801746406E-2</v>
      </c>
      <c r="CY52" s="159">
        <v>8.1688354426873694E-2</v>
      </c>
      <c r="CZ52" s="159">
        <v>8.4671594322981297E-2</v>
      </c>
      <c r="DA52" s="159">
        <v>8.5661148515744898E-2</v>
      </c>
      <c r="DB52" s="159">
        <v>8.2406635898486402E-2</v>
      </c>
      <c r="DC52" s="159">
        <v>0.355617504320768</v>
      </c>
      <c r="DD52" s="159">
        <v>7.8465591529157899E-2</v>
      </c>
      <c r="DE52" s="159">
        <v>0.25835847667238898</v>
      </c>
      <c r="DF52" s="159">
        <v>0.44069674971299</v>
      </c>
      <c r="DG52" s="159">
        <v>7.4074807763761796E-2</v>
      </c>
    </row>
    <row r="53" spans="1:111" x14ac:dyDescent="0.3">
      <c r="A53" s="115" t="s">
        <v>29</v>
      </c>
      <c r="B53" s="105"/>
      <c r="C53" s="105"/>
      <c r="D53" s="105"/>
      <c r="E53" s="105"/>
      <c r="F53" s="105"/>
      <c r="G53" s="105"/>
      <c r="H53" s="105"/>
      <c r="I53" s="105"/>
      <c r="J53" s="102"/>
      <c r="K53" s="102"/>
      <c r="L53" s="102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1"/>
      <c r="CO53" s="161"/>
      <c r="CP53" s="161"/>
      <c r="CQ53" s="161"/>
      <c r="CR53" s="161"/>
      <c r="CS53" s="161"/>
      <c r="CT53" s="161"/>
      <c r="CU53" s="161"/>
      <c r="CV53" s="161"/>
      <c r="CW53" s="161"/>
      <c r="CX53" s="161"/>
      <c r="CY53" s="161"/>
      <c r="CZ53" s="161"/>
      <c r="DA53" s="161"/>
      <c r="DB53" s="161"/>
      <c r="DC53" s="161"/>
      <c r="DD53" s="161"/>
      <c r="DE53" s="161"/>
      <c r="DF53" s="161"/>
      <c r="DG53" s="161"/>
    </row>
    <row r="54" spans="1:111" s="30" customFormat="1" ht="28.8" x14ac:dyDescent="0.3">
      <c r="A54" s="24" t="s">
        <v>30</v>
      </c>
      <c r="B54" s="105">
        <v>21283.989983899995</v>
      </c>
      <c r="C54" s="105">
        <v>41181.73448158001</v>
      </c>
      <c r="D54" s="105">
        <v>45173.40839394003</v>
      </c>
      <c r="E54" s="105">
        <v>46778.101785219995</v>
      </c>
      <c r="F54" s="105">
        <v>45100.815680990003</v>
      </c>
      <c r="G54" s="105">
        <v>50385.307764019992</v>
      </c>
      <c r="H54" s="105">
        <v>44669.217873990019</v>
      </c>
      <c r="I54" s="105">
        <v>45210.156769389978</v>
      </c>
      <c r="J54" s="25">
        <v>43473.979623619991</v>
      </c>
      <c r="K54" s="25">
        <v>43784.681814839998</v>
      </c>
      <c r="L54" s="25">
        <v>43000.264839080002</v>
      </c>
      <c r="M54" s="106">
        <v>37340.286957819997</v>
      </c>
      <c r="N54" s="106">
        <v>45849.46640492</v>
      </c>
      <c r="O54" s="106">
        <v>56654.832581390001</v>
      </c>
      <c r="P54" s="106">
        <v>44095.176999540003</v>
      </c>
      <c r="Q54" s="106">
        <v>51153.719871419999</v>
      </c>
      <c r="R54" s="106">
        <v>46584.518880240001</v>
      </c>
      <c r="S54" s="106">
        <v>46385.757943119999</v>
      </c>
      <c r="T54" s="106">
        <v>45557.047784440001</v>
      </c>
      <c r="U54" s="106">
        <v>49455.350867629997</v>
      </c>
      <c r="V54" s="106">
        <v>49550.751669210003</v>
      </c>
      <c r="W54" s="106">
        <v>48779.059735410003</v>
      </c>
      <c r="X54" s="106">
        <v>50751.77701713</v>
      </c>
      <c r="Y54" s="106">
        <v>35651.044241759999</v>
      </c>
      <c r="Z54" s="106">
        <v>50980.203115490003</v>
      </c>
      <c r="AA54" s="106">
        <v>49591.684488500003</v>
      </c>
      <c r="AB54" s="106">
        <v>48285.37091854</v>
      </c>
      <c r="AC54" s="106">
        <v>43528.339585440001</v>
      </c>
      <c r="AD54" s="106">
        <v>48808.649706930002</v>
      </c>
      <c r="AE54" s="106">
        <v>51195.121619110003</v>
      </c>
      <c r="AF54" s="106">
        <v>46044.163634459997</v>
      </c>
      <c r="AG54" s="106">
        <v>57398.000209910002</v>
      </c>
      <c r="AH54" s="106">
        <v>49976.768555499999</v>
      </c>
      <c r="AI54" s="106">
        <v>51481.409865330003</v>
      </c>
      <c r="AJ54" s="106">
        <v>54119.697410250003</v>
      </c>
      <c r="AK54" s="106">
        <v>52439.749346609999</v>
      </c>
      <c r="AL54" s="106">
        <v>66197.453766559993</v>
      </c>
      <c r="AM54" s="106">
        <v>56810.22172976</v>
      </c>
      <c r="AN54" s="106">
        <v>57627.600580550003</v>
      </c>
      <c r="AO54" s="106">
        <v>58262.828498739997</v>
      </c>
      <c r="AP54" s="106">
        <v>47511.320036520003</v>
      </c>
      <c r="AQ54" s="106">
        <v>46372.012008099999</v>
      </c>
      <c r="AR54" s="106">
        <v>50391.540257829998</v>
      </c>
      <c r="AS54" s="106">
        <v>53664.357618260001</v>
      </c>
      <c r="AT54" s="106">
        <v>52014.953997140001</v>
      </c>
      <c r="AU54" s="106">
        <v>55564.343026740004</v>
      </c>
      <c r="AV54" s="106">
        <v>51555.588985319999</v>
      </c>
      <c r="AW54" s="106">
        <v>37500.416521710002</v>
      </c>
      <c r="AX54" s="106">
        <v>57258.975798890002</v>
      </c>
      <c r="AY54" s="106">
        <v>60714.458333740004</v>
      </c>
      <c r="AZ54" s="106">
        <v>54835.457517050003</v>
      </c>
      <c r="BA54" s="106">
        <v>47151.297955410002</v>
      </c>
      <c r="BB54" s="106">
        <v>68207.417994210002</v>
      </c>
      <c r="BC54" s="106">
        <v>59870.165705879997</v>
      </c>
      <c r="BD54" s="106">
        <v>53765.487640239997</v>
      </c>
      <c r="BE54" s="106">
        <v>60407.246503969996</v>
      </c>
      <c r="BF54" s="106">
        <v>51973.773583839997</v>
      </c>
      <c r="BG54" s="106">
        <v>58680.74316767</v>
      </c>
      <c r="BH54" s="106">
        <v>55291.896946480003</v>
      </c>
      <c r="BI54" s="106">
        <v>34840.4261549</v>
      </c>
      <c r="BJ54" s="106">
        <v>65166.577232850002</v>
      </c>
      <c r="BK54" s="106">
        <v>120856.50432389003</v>
      </c>
      <c r="BL54" s="106">
        <v>47723.792720689999</v>
      </c>
      <c r="BM54" s="106">
        <v>54929.692159810002</v>
      </c>
      <c r="BN54" s="106">
        <v>57173.133183580001</v>
      </c>
      <c r="BO54" s="106">
        <v>55842.978700959997</v>
      </c>
      <c r="BP54" s="106">
        <v>44727.804955929998</v>
      </c>
      <c r="BQ54" s="106">
        <v>66761.101342320006</v>
      </c>
      <c r="BR54" s="106">
        <v>63532.745410360003</v>
      </c>
      <c r="BS54" s="106">
        <v>67007.197932580006</v>
      </c>
      <c r="BT54" s="106">
        <v>70452.882126299999</v>
      </c>
      <c r="BU54" s="106">
        <v>77243.217537920005</v>
      </c>
      <c r="BV54" s="106">
        <v>129687.64293581</v>
      </c>
      <c r="BW54" s="106">
        <v>168442.01848258</v>
      </c>
      <c r="BX54" s="106">
        <v>188592.27555210999</v>
      </c>
      <c r="BY54" s="106">
        <v>181233.17006957001</v>
      </c>
      <c r="BZ54" s="106">
        <v>198306.40116137001</v>
      </c>
      <c r="CA54" s="106">
        <v>196475.42128842001</v>
      </c>
      <c r="CB54" s="106">
        <v>218488.41177785999</v>
      </c>
      <c r="CC54" s="106">
        <v>195773.98396571999</v>
      </c>
      <c r="CD54" s="106">
        <v>200262.65220380001</v>
      </c>
      <c r="CE54" s="106">
        <v>202545.81848602</v>
      </c>
      <c r="CF54" s="106">
        <v>204025.00764431001</v>
      </c>
      <c r="CG54" s="106">
        <v>212229.38541135</v>
      </c>
      <c r="CH54" s="106">
        <v>225491.05811422999</v>
      </c>
      <c r="CI54" s="106">
        <v>222537.88043486001</v>
      </c>
      <c r="CJ54" s="106">
        <v>226596.84145995</v>
      </c>
      <c r="CK54" s="106">
        <v>281689.0780566</v>
      </c>
      <c r="CL54" s="106">
        <v>226533.36280686001</v>
      </c>
      <c r="CM54" s="106">
        <v>278453.77406251</v>
      </c>
      <c r="CN54" s="106">
        <v>261816.47840083</v>
      </c>
      <c r="CO54" s="106">
        <v>241721.78446055</v>
      </c>
      <c r="CP54" s="106">
        <v>252781.35654348001</v>
      </c>
      <c r="CQ54" s="106">
        <v>261318.88266676001</v>
      </c>
      <c r="CR54" s="106">
        <v>241296.87698284999</v>
      </c>
      <c r="CS54" s="106">
        <v>229188.75572874999</v>
      </c>
      <c r="CT54" s="106">
        <v>213321.30239590001</v>
      </c>
      <c r="CU54" s="106">
        <v>249492.63039678</v>
      </c>
      <c r="CV54" s="106">
        <v>205964.81360843001</v>
      </c>
      <c r="CW54" s="106">
        <v>217860.37069185</v>
      </c>
      <c r="CX54" s="106">
        <v>259026.1961376</v>
      </c>
      <c r="CY54" s="106">
        <v>238577.61870404001</v>
      </c>
      <c r="CZ54" s="106">
        <v>253746.36779691</v>
      </c>
      <c r="DA54" s="106">
        <v>246198.63227328999</v>
      </c>
      <c r="DB54" s="106">
        <v>235314.70505089001</v>
      </c>
      <c r="DC54" s="106">
        <v>254030.68540059001</v>
      </c>
      <c r="DD54" s="106">
        <v>268463.59046305</v>
      </c>
      <c r="DE54" s="106">
        <v>247986.88716956999</v>
      </c>
      <c r="DF54" s="106">
        <v>346165.03584457998</v>
      </c>
      <c r="DG54" s="106">
        <v>293503.86442499002</v>
      </c>
    </row>
    <row r="55" spans="1:111" s="30" customFormat="1" x14ac:dyDescent="0.3">
      <c r="A55" s="48" t="s">
        <v>31</v>
      </c>
      <c r="B55" s="25">
        <v>3360.7146149699984</v>
      </c>
      <c r="C55" s="25">
        <v>2741.0503878199988</v>
      </c>
      <c r="D55" s="25">
        <v>2534.6521463599997</v>
      </c>
      <c r="E55" s="25">
        <v>2650.9155619599996</v>
      </c>
      <c r="F55" s="25">
        <v>2514.5023215199994</v>
      </c>
      <c r="G55" s="25">
        <v>2641.0556742199997</v>
      </c>
      <c r="H55" s="25">
        <v>2561.9155802199994</v>
      </c>
      <c r="I55" s="25">
        <v>2479.3042595000002</v>
      </c>
      <c r="J55" s="19">
        <v>2368.9074361899998</v>
      </c>
      <c r="K55" s="19">
        <v>2563.38630504</v>
      </c>
      <c r="L55" s="19">
        <v>2433.3427217499998</v>
      </c>
      <c r="M55" s="42">
        <v>2689.1961373000099</v>
      </c>
      <c r="N55" s="42">
        <v>2651.8104810899999</v>
      </c>
      <c r="O55" s="27">
        <v>2880.3892235799999</v>
      </c>
      <c r="P55" s="27">
        <v>2374.6202515499999</v>
      </c>
      <c r="Q55" s="27">
        <v>2378.6836389800101</v>
      </c>
      <c r="R55" s="27">
        <v>2345.2721728299998</v>
      </c>
      <c r="S55" s="27">
        <v>2841.5334348400002</v>
      </c>
      <c r="T55" s="27">
        <v>3512.6690037200001</v>
      </c>
      <c r="U55" s="27">
        <v>3905.6188700600001</v>
      </c>
      <c r="V55" s="27">
        <v>4224.6157095300096</v>
      </c>
      <c r="W55" s="27">
        <v>2568.1858807200001</v>
      </c>
      <c r="X55" s="27">
        <v>2475.8209346599901</v>
      </c>
      <c r="Y55" s="27">
        <v>2832.5122714600002</v>
      </c>
      <c r="Z55" s="27">
        <v>2426.8287030500001</v>
      </c>
      <c r="AA55" s="27">
        <v>2274.4156348299998</v>
      </c>
      <c r="AB55" s="27">
        <v>2427.2329016799999</v>
      </c>
      <c r="AC55" s="27">
        <v>2440.3430967999998</v>
      </c>
      <c r="AD55" s="27">
        <v>2438.75492751001</v>
      </c>
      <c r="AE55" s="27">
        <v>2467.7695616799901</v>
      </c>
      <c r="AF55" s="27">
        <v>2255.7063558499999</v>
      </c>
      <c r="AG55" s="27">
        <v>2349.09801013999</v>
      </c>
      <c r="AH55" s="27">
        <v>2693.0324545499998</v>
      </c>
      <c r="AI55" s="27">
        <v>1466.6858726400001</v>
      </c>
      <c r="AJ55" s="27">
        <v>1576.3227797500001</v>
      </c>
      <c r="AK55" s="27">
        <v>1568.7194379499999</v>
      </c>
      <c r="AL55" s="27">
        <v>1486.6191377999901</v>
      </c>
      <c r="AM55" s="27">
        <v>1506.1819031800001</v>
      </c>
      <c r="AN55" s="27">
        <v>1513.57308577</v>
      </c>
      <c r="AO55" s="27">
        <v>1470.54941219999</v>
      </c>
      <c r="AP55" s="27">
        <v>1558.2195876999999</v>
      </c>
      <c r="AQ55" s="27">
        <v>1791.7503655600201</v>
      </c>
      <c r="AR55" s="27">
        <v>1639.69970317</v>
      </c>
      <c r="AS55" s="27">
        <v>1783.40524276</v>
      </c>
      <c r="AT55" s="27">
        <v>1571.6827747299899</v>
      </c>
      <c r="AU55" s="27">
        <v>1699.78705696001</v>
      </c>
      <c r="AV55" s="27">
        <v>1878.95426681</v>
      </c>
      <c r="AW55" s="27">
        <v>1648.2804551300001</v>
      </c>
      <c r="AX55" s="27">
        <v>1658.36835807999</v>
      </c>
      <c r="AY55" s="27">
        <v>2065.2718344</v>
      </c>
      <c r="AZ55" s="27">
        <v>1697.7840504000001</v>
      </c>
      <c r="BA55" s="27">
        <v>1823.9539426699901</v>
      </c>
      <c r="BB55" s="27">
        <v>1981.5435654099999</v>
      </c>
      <c r="BC55" s="27">
        <v>922.02583018999599</v>
      </c>
      <c r="BD55" s="27">
        <v>990.51988364000101</v>
      </c>
      <c r="BE55" s="27">
        <v>924.1377526</v>
      </c>
      <c r="BF55" s="27">
        <v>963.06826275999595</v>
      </c>
      <c r="BG55" s="27">
        <v>1048.9702317899901</v>
      </c>
      <c r="BH55" s="27">
        <v>1239.2231551700099</v>
      </c>
      <c r="BI55" s="27">
        <v>1203.9732818699999</v>
      </c>
      <c r="BJ55" s="27">
        <v>1655.18917846</v>
      </c>
      <c r="BK55" s="27">
        <v>1886.9063876400003</v>
      </c>
      <c r="BL55" s="27">
        <v>1521.48300037999</v>
      </c>
      <c r="BM55" s="27">
        <v>1402.54058248</v>
      </c>
      <c r="BN55" s="27">
        <v>1371.2447427899999</v>
      </c>
      <c r="BO55" s="27">
        <v>1574.32809008</v>
      </c>
      <c r="BP55" s="27">
        <v>1446.9764089400101</v>
      </c>
      <c r="BQ55" s="27">
        <v>1590.6799995599999</v>
      </c>
      <c r="BR55" s="27">
        <v>3317.5190242600002</v>
      </c>
      <c r="BS55" s="27">
        <v>1879.58846454999</v>
      </c>
      <c r="BT55" s="27">
        <v>1672.5433358299899</v>
      </c>
      <c r="BU55" s="27">
        <v>2269.12901126001</v>
      </c>
      <c r="BV55" s="27">
        <v>1094.6504851300001</v>
      </c>
      <c r="BW55" s="27">
        <v>1114.91237518002</v>
      </c>
      <c r="BX55" s="27">
        <v>2407.2628432000101</v>
      </c>
      <c r="BY55" s="27">
        <v>2297.9885140599799</v>
      </c>
      <c r="BZ55" s="27">
        <v>1613.3353363200099</v>
      </c>
      <c r="CA55" s="27">
        <v>2933.6924830100002</v>
      </c>
      <c r="CB55" s="27">
        <v>1980.34806024001</v>
      </c>
      <c r="CC55" s="27">
        <v>1500.8681177399999</v>
      </c>
      <c r="CD55" s="27">
        <v>2945.4355449199802</v>
      </c>
      <c r="CE55" s="27">
        <v>1678.6247988600201</v>
      </c>
      <c r="CF55" s="27">
        <v>1427.3165760099901</v>
      </c>
      <c r="CG55" s="27">
        <v>3207.2814984800102</v>
      </c>
      <c r="CH55" s="27">
        <v>955.58558072999597</v>
      </c>
      <c r="CI55" s="27">
        <v>962.65450361001399</v>
      </c>
      <c r="CJ55" s="27">
        <v>3710.6228363100099</v>
      </c>
      <c r="CK55" s="27">
        <v>1481.25387519994</v>
      </c>
      <c r="CL55" s="27">
        <v>2670.5546749300001</v>
      </c>
      <c r="CM55" s="27">
        <v>4272.3471677600201</v>
      </c>
      <c r="CN55" s="43">
        <v>994.39690082002198</v>
      </c>
      <c r="CO55" s="43">
        <v>3028.88110882</v>
      </c>
      <c r="CP55" s="43">
        <v>1991.77544487</v>
      </c>
      <c r="CQ55" s="43">
        <v>1207.5555487500101</v>
      </c>
      <c r="CR55" s="43">
        <v>4088.9293553299499</v>
      </c>
      <c r="CS55" s="43">
        <v>1295.83108286999</v>
      </c>
      <c r="CT55" s="43">
        <v>3204.9465831399698</v>
      </c>
      <c r="CU55" s="43">
        <v>3441.8721552400102</v>
      </c>
      <c r="CV55" s="43">
        <v>1492.70576522997</v>
      </c>
      <c r="CW55" s="43">
        <v>1297.2988651999599</v>
      </c>
      <c r="CX55" s="43">
        <v>4023.6473696099702</v>
      </c>
      <c r="CY55" s="43">
        <v>1598.0282972699799</v>
      </c>
      <c r="CZ55" s="43">
        <v>1252.5505802999801</v>
      </c>
      <c r="DA55" s="43">
        <v>4866.6228770900098</v>
      </c>
      <c r="DB55" s="43">
        <v>1282.50200494</v>
      </c>
      <c r="DC55" s="43">
        <v>3314.9362974000401</v>
      </c>
      <c r="DD55" s="43">
        <v>4813.1130281700198</v>
      </c>
      <c r="DE55" s="43">
        <v>1310.92735801003</v>
      </c>
      <c r="DF55" s="43">
        <v>4182.3327934099898</v>
      </c>
      <c r="DG55" s="43">
        <v>5680.2257659199504</v>
      </c>
    </row>
    <row r="56" spans="1:111" s="30" customFormat="1" x14ac:dyDescent="0.3">
      <c r="A56" s="31" t="s">
        <v>26</v>
      </c>
      <c r="B56" s="25">
        <v>740.52826783</v>
      </c>
      <c r="C56" s="25">
        <v>1660.7638254400001</v>
      </c>
      <c r="D56" s="25">
        <v>1674.8562236699997</v>
      </c>
      <c r="E56" s="25">
        <v>1662.7791680099999</v>
      </c>
      <c r="F56" s="25">
        <v>1591.9765615599999</v>
      </c>
      <c r="G56" s="25">
        <v>1590.5848243099997</v>
      </c>
      <c r="H56" s="25">
        <v>1589.9795043299996</v>
      </c>
      <c r="I56" s="25">
        <v>1589.2899860299997</v>
      </c>
      <c r="J56" s="25">
        <v>1589.2948514499999</v>
      </c>
      <c r="K56" s="25">
        <v>1588.30567187</v>
      </c>
      <c r="L56" s="25">
        <v>1589.29393583</v>
      </c>
      <c r="M56" s="27">
        <v>1630.4973835799999</v>
      </c>
      <c r="N56" s="27">
        <v>1668.9031927999999</v>
      </c>
      <c r="O56" s="118">
        <v>1592.62396051</v>
      </c>
      <c r="P56" s="118">
        <v>1606.09204834</v>
      </c>
      <c r="Q56" s="118">
        <v>1610.51220982</v>
      </c>
      <c r="R56" s="29">
        <v>1627.3908890499999</v>
      </c>
      <c r="S56" s="29">
        <v>1659.4715220999999</v>
      </c>
      <c r="T56" s="29">
        <v>1613.94621906</v>
      </c>
      <c r="U56" s="29">
        <v>1646.5001195299999</v>
      </c>
      <c r="V56" s="29">
        <v>1646.3355299899999</v>
      </c>
      <c r="W56" s="29">
        <v>1690.1712301</v>
      </c>
      <c r="X56" s="29">
        <v>1690.2890989499999</v>
      </c>
      <c r="Y56" s="29">
        <v>1670.1173290199999</v>
      </c>
      <c r="Z56" s="29">
        <v>1670.4127957400001</v>
      </c>
      <c r="AA56" s="29">
        <v>1604.5596290200001</v>
      </c>
      <c r="AB56" s="29">
        <v>1605.2823013100001</v>
      </c>
      <c r="AC56" s="29">
        <v>1605.1343938299999</v>
      </c>
      <c r="AD56" s="29">
        <v>1601.48885956</v>
      </c>
      <c r="AE56" s="29">
        <v>1601.8323740999999</v>
      </c>
      <c r="AF56" s="29">
        <v>1599.2991121800001</v>
      </c>
      <c r="AG56" s="29">
        <v>1599.47335823</v>
      </c>
      <c r="AH56" s="29">
        <v>1599.7393167</v>
      </c>
      <c r="AI56" s="29">
        <v>881.32838785000001</v>
      </c>
      <c r="AJ56" s="29">
        <v>880.75555149000002</v>
      </c>
      <c r="AK56" s="29">
        <v>880.75515216999997</v>
      </c>
      <c r="AL56" s="29">
        <v>880.75372677999997</v>
      </c>
      <c r="AM56" s="29">
        <v>880.85360175999995</v>
      </c>
      <c r="AN56" s="29">
        <v>880.87555239000005</v>
      </c>
      <c r="AO56" s="29">
        <v>880.77195673000006</v>
      </c>
      <c r="AP56" s="29">
        <v>880.86572823999995</v>
      </c>
      <c r="AQ56" s="29">
        <v>892.33292915000004</v>
      </c>
      <c r="AR56" s="29">
        <v>889.17097788000001</v>
      </c>
      <c r="AS56" s="29">
        <v>891.24861567999994</v>
      </c>
      <c r="AT56" s="29">
        <v>889.61627466000004</v>
      </c>
      <c r="AU56" s="29">
        <v>891.03902249999999</v>
      </c>
      <c r="AV56" s="29">
        <v>881.56135889999996</v>
      </c>
      <c r="AW56" s="29">
        <v>881.55179281000005</v>
      </c>
      <c r="AX56" s="29">
        <v>944.10411151999995</v>
      </c>
      <c r="AY56" s="29">
        <v>894.96833001000005</v>
      </c>
      <c r="AZ56" s="29">
        <v>932.72593369000003</v>
      </c>
      <c r="BA56" s="29">
        <v>881.80866279999998</v>
      </c>
      <c r="BB56" s="29">
        <v>881.57380221999995</v>
      </c>
      <c r="BC56" s="29">
        <v>1.1680580300000001</v>
      </c>
      <c r="BD56" s="29">
        <v>1.3453997799999999</v>
      </c>
      <c r="BE56" s="29">
        <v>4.9307924200000004</v>
      </c>
      <c r="BF56" s="29">
        <v>1.1887341199999999</v>
      </c>
      <c r="BG56" s="29">
        <v>1.1967737300000001</v>
      </c>
      <c r="BH56" s="29">
        <v>88.182505419999998</v>
      </c>
      <c r="BI56" s="29">
        <v>1.11333002</v>
      </c>
      <c r="BJ56" s="29">
        <v>1.1319300000000001</v>
      </c>
      <c r="BK56" s="29">
        <v>1.1771791500000002</v>
      </c>
      <c r="BL56" s="29">
        <v>64.178984439999994</v>
      </c>
      <c r="BM56" s="29">
        <v>1.1648992199999999</v>
      </c>
      <c r="BN56" s="29">
        <v>1.1774662300000001</v>
      </c>
      <c r="BO56" s="29">
        <v>1.1996710500000001</v>
      </c>
      <c r="BP56" s="29">
        <v>1.2094301999999999</v>
      </c>
      <c r="BQ56" s="29">
        <v>1.21497162</v>
      </c>
      <c r="BR56" s="29">
        <v>202.61266972000001</v>
      </c>
      <c r="BS56" s="29">
        <v>2.6004190199999999</v>
      </c>
      <c r="BT56" s="29">
        <v>2.5557657200000001</v>
      </c>
      <c r="BU56" s="29">
        <v>201.19591819999999</v>
      </c>
      <c r="BV56" s="29">
        <v>1.21292219</v>
      </c>
      <c r="BW56" s="29">
        <v>1.16675475</v>
      </c>
      <c r="BX56" s="29">
        <v>205.05224828999999</v>
      </c>
      <c r="BY56" s="29">
        <v>205.02080875999999</v>
      </c>
      <c r="BZ56" s="29">
        <v>2.36403177</v>
      </c>
      <c r="CA56" s="29">
        <v>202.33729074999999</v>
      </c>
      <c r="CB56" s="29">
        <v>2.30993871</v>
      </c>
      <c r="CC56" s="29">
        <v>2.2925487100000002</v>
      </c>
      <c r="CD56" s="29">
        <v>51.680512800000002</v>
      </c>
      <c r="CE56" s="29">
        <v>1.13205427</v>
      </c>
      <c r="CF56" s="29">
        <v>1.15543643</v>
      </c>
      <c r="CG56" s="29">
        <v>1143.58090702</v>
      </c>
      <c r="CH56" s="29">
        <v>0.11197078000000001</v>
      </c>
      <c r="CI56" s="29">
        <v>2.2680820000000001E-2</v>
      </c>
      <c r="CJ56" s="29">
        <v>1044.0584167300001</v>
      </c>
      <c r="CK56" s="29">
        <v>3.3552720000000001E-2</v>
      </c>
      <c r="CL56" s="29">
        <v>2.882142E-2</v>
      </c>
      <c r="CM56" s="29">
        <v>3.0127790000000002E-2</v>
      </c>
      <c r="CN56" s="29">
        <v>3.9297560000000002E-2</v>
      </c>
      <c r="CO56" s="29">
        <v>6.4916050000000003E-2</v>
      </c>
      <c r="CP56" s="29">
        <v>0.10646521</v>
      </c>
      <c r="CQ56" s="29">
        <v>0.13592662</v>
      </c>
      <c r="CR56" s="29">
        <v>0.21361277000000001</v>
      </c>
      <c r="CS56" s="29">
        <v>0.20842042999999999</v>
      </c>
      <c r="CT56" s="29">
        <v>0.18993065000000001</v>
      </c>
      <c r="CU56" s="29">
        <v>0.21218862999999999</v>
      </c>
      <c r="CV56" s="29">
        <v>0.24575047999999999</v>
      </c>
      <c r="CW56" s="29">
        <v>0.24249665000000001</v>
      </c>
      <c r="CX56" s="29">
        <v>0.23824523</v>
      </c>
      <c r="CY56" s="29">
        <v>0.27619244999999998</v>
      </c>
      <c r="CZ56" s="29">
        <v>0.29151568</v>
      </c>
      <c r="DA56" s="29">
        <v>0.18299055</v>
      </c>
      <c r="DB56" s="29">
        <v>0.18705488000000001</v>
      </c>
      <c r="DC56" s="29">
        <v>0.19992651</v>
      </c>
      <c r="DD56" s="29">
        <v>0.20994816999999999</v>
      </c>
      <c r="DE56" s="29">
        <v>0.15990352999999999</v>
      </c>
      <c r="DF56" s="29">
        <v>20.465373119999999</v>
      </c>
      <c r="DG56" s="29">
        <v>0.25126795000000002</v>
      </c>
    </row>
    <row r="57" spans="1:111" s="113" customFormat="1" x14ac:dyDescent="0.3">
      <c r="A57" s="107" t="s">
        <v>27</v>
      </c>
      <c r="B57" s="120">
        <f t="shared" ref="B57:I57" si="12">IFERROR(100*(B56/B55),0)</f>
        <v>22.034845343052456</v>
      </c>
      <c r="C57" s="120">
        <f t="shared" si="12"/>
        <v>60.588591615086365</v>
      </c>
      <c r="D57" s="120">
        <f t="shared" si="12"/>
        <v>66.078346335423248</v>
      </c>
      <c r="E57" s="120">
        <f t="shared" si="12"/>
        <v>62.724712618933651</v>
      </c>
      <c r="F57" s="120">
        <f t="shared" si="12"/>
        <v>63.311795258063675</v>
      </c>
      <c r="G57" s="120">
        <f t="shared" si="12"/>
        <v>60.225342458172818</v>
      </c>
      <c r="H57" s="120">
        <f t="shared" si="12"/>
        <v>62.062134935510386</v>
      </c>
      <c r="I57" s="120">
        <f t="shared" si="12"/>
        <v>64.102256910997724</v>
      </c>
      <c r="J57" s="121">
        <v>67.089782706162666</v>
      </c>
      <c r="K57" s="121">
        <v>61.961229516875903</v>
      </c>
      <c r="L57" s="121">
        <v>65.313197422803597</v>
      </c>
      <c r="M57" s="112">
        <v>60.631404342899401</v>
      </c>
      <c r="N57" s="110">
        <v>62.934482109521497</v>
      </c>
      <c r="O57" s="110">
        <v>55.2919705250996</v>
      </c>
      <c r="P57" s="110">
        <v>67.635742906329696</v>
      </c>
      <c r="Q57" s="110">
        <v>67.706027965559798</v>
      </c>
      <c r="R57" s="159">
        <v>69.390278361008001</v>
      </c>
      <c r="S57" s="159">
        <v>58.4005629408841</v>
      </c>
      <c r="T57" s="159">
        <v>45.946436096050903</v>
      </c>
      <c r="U57" s="159">
        <v>42.157214370093001</v>
      </c>
      <c r="V57" s="159">
        <v>38.970065993840599</v>
      </c>
      <c r="W57" s="159">
        <v>65.811872995195799</v>
      </c>
      <c r="X57" s="159">
        <v>68.271863901261099</v>
      </c>
      <c r="Y57" s="159">
        <v>58.9624040060786</v>
      </c>
      <c r="Z57" s="159">
        <v>68.831096057198096</v>
      </c>
      <c r="AA57" s="159">
        <v>70.548214866625798</v>
      </c>
      <c r="AB57" s="159">
        <v>66.136311031335694</v>
      </c>
      <c r="AC57" s="159">
        <v>65.774947626618598</v>
      </c>
      <c r="AD57" s="159">
        <v>65.668298257223199</v>
      </c>
      <c r="AE57" s="159">
        <v>64.910127711013502</v>
      </c>
      <c r="AF57" s="159">
        <v>70.900146556414199</v>
      </c>
      <c r="AG57" s="159">
        <v>68.088830322353502</v>
      </c>
      <c r="AH57" s="159">
        <v>59.402897800105201</v>
      </c>
      <c r="AI57" s="159">
        <v>60.089785024221499</v>
      </c>
      <c r="AJ57" s="159">
        <v>55.874060998451398</v>
      </c>
      <c r="AK57" s="159">
        <v>56.144848521859899</v>
      </c>
      <c r="AL57" s="159">
        <v>59.2454183042069</v>
      </c>
      <c r="AM57" s="159">
        <v>58.482551138096397</v>
      </c>
      <c r="AN57" s="159">
        <v>58.1984154364023</v>
      </c>
      <c r="AO57" s="159">
        <v>59.8940742434716</v>
      </c>
      <c r="AP57" s="159">
        <v>56.530269237611002</v>
      </c>
      <c r="AQ57" s="159">
        <v>49.802302056240897</v>
      </c>
      <c r="AR57" s="159">
        <v>54.227672064645901</v>
      </c>
      <c r="AS57" s="159">
        <v>49.974542762962002</v>
      </c>
      <c r="AT57" s="159">
        <v>56.602788359300597</v>
      </c>
      <c r="AU57" s="159">
        <v>52.420626386789003</v>
      </c>
      <c r="AV57" s="159">
        <v>46.917659172017601</v>
      </c>
      <c r="AW57" s="159">
        <v>53.483118729359198</v>
      </c>
      <c r="AX57" s="159">
        <v>56.929698816314499</v>
      </c>
      <c r="AY57" s="159">
        <v>43.3341662391868</v>
      </c>
      <c r="AZ57" s="159">
        <v>54.937842858769301</v>
      </c>
      <c r="BA57" s="159">
        <v>48.345993951424298</v>
      </c>
      <c r="BB57" s="159">
        <v>44.489246545411902</v>
      </c>
      <c r="BC57" s="159">
        <v>0.12668387281073301</v>
      </c>
      <c r="BD57" s="159">
        <v>0.135827639830497</v>
      </c>
      <c r="BE57" s="159">
        <v>0.53355599921413699</v>
      </c>
      <c r="BF57" s="159">
        <v>0.123431969047893</v>
      </c>
      <c r="BG57" s="159">
        <v>0.11409034248357899</v>
      </c>
      <c r="BH57" s="159">
        <v>7.1159504284684099</v>
      </c>
      <c r="BI57" s="159">
        <v>9.2471322807993403E-2</v>
      </c>
      <c r="BJ57" s="159">
        <v>6.8386744834397398E-2</v>
      </c>
      <c r="BK57" s="159">
        <v>6.2386727699423751E-2</v>
      </c>
      <c r="BL57" s="159">
        <v>4.2181861002700103</v>
      </c>
      <c r="BM57" s="159">
        <v>8.3056364610869599E-2</v>
      </c>
      <c r="BN57" s="159">
        <v>8.5868422554844101E-2</v>
      </c>
      <c r="BO57" s="159">
        <v>7.6202099013493202E-2</v>
      </c>
      <c r="BP57" s="159">
        <v>8.35832700884169E-2</v>
      </c>
      <c r="BQ57" s="159">
        <v>7.63806435195057E-2</v>
      </c>
      <c r="BR57" s="159">
        <v>6.1073551722945796</v>
      </c>
      <c r="BS57" s="159">
        <v>0.13835044580477299</v>
      </c>
      <c r="BT57" s="159">
        <v>0.15280714497790401</v>
      </c>
      <c r="BU57" s="159">
        <v>8.8666584051243102</v>
      </c>
      <c r="BV57" s="159">
        <v>0.110804517649847</v>
      </c>
      <c r="BW57" s="159">
        <v>0.104649905766057</v>
      </c>
      <c r="BX57" s="159">
        <v>8.5180664367095602</v>
      </c>
      <c r="BY57" s="159">
        <v>8.9217508053501398</v>
      </c>
      <c r="BZ57" s="159">
        <v>0.14653071291380201</v>
      </c>
      <c r="CA57" s="159">
        <v>6.8970177318107799</v>
      </c>
      <c r="CB57" s="159">
        <v>0.11664306676070101</v>
      </c>
      <c r="CC57" s="159">
        <v>0.15274817839772001</v>
      </c>
      <c r="CD57" s="159">
        <v>1.7545966296608999</v>
      </c>
      <c r="CE57" s="159">
        <v>6.7439386739001697E-2</v>
      </c>
      <c r="CF57" s="159">
        <v>8.0951657776579297E-2</v>
      </c>
      <c r="CG57" s="159">
        <v>35.655769771439303</v>
      </c>
      <c r="CH57" s="159">
        <v>1.1717504141749701E-2</v>
      </c>
      <c r="CI57" s="159">
        <v>2.3560706270988698E-3</v>
      </c>
      <c r="CJ57" s="159">
        <v>28.1370126468648</v>
      </c>
      <c r="CK57" s="159">
        <v>2.2651566056136798E-3</v>
      </c>
      <c r="CL57" s="159">
        <v>1.07922972970982E-3</v>
      </c>
      <c r="CM57" s="159">
        <v>7.0518122280301295E-4</v>
      </c>
      <c r="CN57" s="159">
        <v>3.9518988813816297E-3</v>
      </c>
      <c r="CO57" s="159">
        <v>2.1432353290780099E-3</v>
      </c>
      <c r="CP57" s="159">
        <v>5.3452416171818401E-3</v>
      </c>
      <c r="CQ57" s="159">
        <v>1.1256345113125701E-2</v>
      </c>
      <c r="CR57" s="159">
        <v>5.2241736512653198E-3</v>
      </c>
      <c r="CS57" s="159">
        <v>1.6083919636994098E-2</v>
      </c>
      <c r="CT57" s="159">
        <v>5.9261720928253303E-3</v>
      </c>
      <c r="CU57" s="159">
        <v>6.1649189868065698E-3</v>
      </c>
      <c r="CV57" s="159">
        <v>1.64634240534429E-2</v>
      </c>
      <c r="CW57" s="159">
        <v>1.86924275126551E-2</v>
      </c>
      <c r="CX57" s="159">
        <v>5.9211259863235499E-3</v>
      </c>
      <c r="CY57" s="159">
        <v>1.72833266139178E-2</v>
      </c>
      <c r="CZ57" s="159">
        <v>2.3273765114553899E-2</v>
      </c>
      <c r="DA57" s="159">
        <v>3.7601136274898498E-3</v>
      </c>
      <c r="DB57" s="159">
        <v>1.45851530274021E-2</v>
      </c>
      <c r="DC57" s="159">
        <v>6.0310815069600501E-3</v>
      </c>
      <c r="DD57" s="159">
        <v>4.3620037337835796E-3</v>
      </c>
      <c r="DE57" s="159">
        <v>1.2197741470795999E-2</v>
      </c>
      <c r="DF57" s="159">
        <v>0.48932914071895001</v>
      </c>
      <c r="DG57" s="159">
        <v>4.4235556887113501E-3</v>
      </c>
    </row>
    <row r="58" spans="1:111" x14ac:dyDescent="0.3">
      <c r="A58" s="115" t="s">
        <v>32</v>
      </c>
      <c r="B58" s="105"/>
      <c r="C58" s="105"/>
      <c r="D58" s="105"/>
      <c r="E58" s="105"/>
      <c r="F58" s="105"/>
      <c r="G58" s="105"/>
      <c r="H58" s="105"/>
      <c r="I58" s="105"/>
      <c r="J58" s="102"/>
      <c r="K58" s="102"/>
      <c r="L58" s="102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3"/>
      <c r="CN58" s="161"/>
      <c r="CO58" s="161"/>
      <c r="CP58" s="161"/>
      <c r="CQ58" s="161"/>
      <c r="CR58" s="161"/>
      <c r="CS58" s="161"/>
      <c r="CT58" s="161"/>
      <c r="CU58" s="161"/>
      <c r="CV58" s="161"/>
      <c r="CW58" s="161"/>
      <c r="CX58" s="161"/>
      <c r="CY58" s="161"/>
      <c r="CZ58" s="161"/>
      <c r="DA58" s="161"/>
      <c r="DB58" s="161"/>
      <c r="DC58" s="161"/>
      <c r="DD58" s="161"/>
      <c r="DE58" s="161"/>
      <c r="DF58" s="161"/>
      <c r="DG58" s="161"/>
    </row>
    <row r="59" spans="1:111" s="30" customFormat="1" x14ac:dyDescent="0.3">
      <c r="A59" s="48" t="s">
        <v>32</v>
      </c>
      <c r="B59" s="25">
        <v>73.511547329999999</v>
      </c>
      <c r="C59" s="25">
        <v>19328.586712160002</v>
      </c>
      <c r="D59" s="25">
        <v>21084.20026935</v>
      </c>
      <c r="E59" s="25">
        <v>55661.796630980003</v>
      </c>
      <c r="F59" s="25">
        <v>55581.956957470014</v>
      </c>
      <c r="G59" s="25">
        <v>50374.018655890002</v>
      </c>
      <c r="H59" s="25">
        <v>49375.832020630012</v>
      </c>
      <c r="I59" s="25">
        <v>51644.266479700003</v>
      </c>
      <c r="J59" s="25">
        <v>50752.932392499984</v>
      </c>
      <c r="K59" s="25">
        <v>51909.103716730002</v>
      </c>
      <c r="L59" s="25">
        <v>52448.891591150001</v>
      </c>
      <c r="M59" s="27">
        <v>56267.239855829997</v>
      </c>
      <c r="N59" s="27">
        <v>21781.134967040001</v>
      </c>
      <c r="O59" s="42">
        <v>20246.59036731</v>
      </c>
      <c r="P59" s="42">
        <v>19392.359663219999</v>
      </c>
      <c r="Q59" s="42">
        <v>19275.146047679998</v>
      </c>
      <c r="R59" s="42">
        <v>18995.71083086</v>
      </c>
      <c r="S59" s="42">
        <v>110.54237525000001</v>
      </c>
      <c r="T59" s="42">
        <v>129.63335563999999</v>
      </c>
      <c r="U59" s="42">
        <v>156.72374993</v>
      </c>
      <c r="V59" s="42">
        <v>123.6695505</v>
      </c>
      <c r="W59" s="42">
        <v>178.62983822999999</v>
      </c>
      <c r="X59" s="42">
        <v>159.29708934999999</v>
      </c>
      <c r="Y59" s="42">
        <v>317.27167822000001</v>
      </c>
      <c r="Z59" s="42">
        <v>323.27952327999998</v>
      </c>
      <c r="AA59" s="42">
        <v>431.63575603999999</v>
      </c>
      <c r="AB59" s="42">
        <v>431.99120305000002</v>
      </c>
      <c r="AC59" s="42">
        <v>613.36590493999995</v>
      </c>
      <c r="AD59" s="42">
        <v>609.28013654999995</v>
      </c>
      <c r="AE59" s="42">
        <v>728.9699263</v>
      </c>
      <c r="AF59" s="42">
        <v>1145.28366035</v>
      </c>
      <c r="AG59" s="42">
        <v>1031.0226558899999</v>
      </c>
      <c r="AH59" s="42">
        <v>1146.3328946500001</v>
      </c>
      <c r="AI59" s="42">
        <v>853.36475933999998</v>
      </c>
      <c r="AJ59" s="42">
        <v>847.10296430000005</v>
      </c>
      <c r="AK59" s="42">
        <v>888.77935313</v>
      </c>
      <c r="AL59" s="42">
        <v>687.10864488000004</v>
      </c>
      <c r="AM59" s="42">
        <v>612.88584462999995</v>
      </c>
      <c r="AN59" s="42">
        <v>610.69071435000001</v>
      </c>
      <c r="AO59" s="42">
        <v>584.84904477999999</v>
      </c>
      <c r="AP59" s="42">
        <v>705.34289342</v>
      </c>
      <c r="AQ59" s="42">
        <v>627.07563812000001</v>
      </c>
      <c r="AR59" s="42">
        <v>534.64920854000002</v>
      </c>
      <c r="AS59" s="42">
        <v>952.79129647000002</v>
      </c>
      <c r="AT59" s="42">
        <v>800.81211812000004</v>
      </c>
      <c r="AU59" s="42">
        <v>573.96135678999997</v>
      </c>
      <c r="AV59" s="42">
        <v>1230.4376319600001</v>
      </c>
      <c r="AW59" s="42">
        <v>628.80217301000005</v>
      </c>
      <c r="AX59" s="42">
        <v>954.32806549999998</v>
      </c>
      <c r="AY59" s="42">
        <v>1157.69365827</v>
      </c>
      <c r="AZ59" s="42">
        <v>1804.31248955</v>
      </c>
      <c r="BA59" s="42">
        <v>2283.68402393</v>
      </c>
      <c r="BB59" s="42">
        <v>2347.0161780799999</v>
      </c>
      <c r="BC59" s="42">
        <v>2346.4521237499998</v>
      </c>
      <c r="BD59" s="42">
        <v>2392.2888839000002</v>
      </c>
      <c r="BE59" s="42">
        <v>2338.7250146699998</v>
      </c>
      <c r="BF59" s="42">
        <v>2162.67999448</v>
      </c>
      <c r="BG59" s="42">
        <v>2000.5793235799999</v>
      </c>
      <c r="BH59" s="42">
        <v>1354.8225185399999</v>
      </c>
      <c r="BI59" s="42">
        <v>1567.56417779</v>
      </c>
      <c r="BJ59" s="42">
        <v>1857.98764648</v>
      </c>
      <c r="BK59" s="42">
        <v>1824.17310346</v>
      </c>
      <c r="BL59" s="42">
        <v>1559.57619378</v>
      </c>
      <c r="BM59" s="42">
        <v>1622.4309283600001</v>
      </c>
      <c r="BN59" s="42">
        <v>1501.5393458200001</v>
      </c>
      <c r="BO59" s="42">
        <v>4770.4882551199998</v>
      </c>
      <c r="BP59" s="42">
        <v>4455.4772646199999</v>
      </c>
      <c r="BQ59" s="42">
        <v>4202.1040417800004</v>
      </c>
      <c r="BR59" s="42">
        <v>4597.3009027400003</v>
      </c>
      <c r="BS59" s="42">
        <v>3923.9298450599999</v>
      </c>
      <c r="BT59" s="42">
        <v>4235.1692112000001</v>
      </c>
      <c r="BU59" s="42">
        <v>4074.1972141199999</v>
      </c>
      <c r="BV59" s="42">
        <v>4236.4123000099999</v>
      </c>
      <c r="BW59" s="42">
        <v>3852.3013018199999</v>
      </c>
      <c r="BX59" s="42">
        <v>3717.2299567700002</v>
      </c>
      <c r="BY59" s="42">
        <v>3073.82307997</v>
      </c>
      <c r="BZ59" s="42">
        <v>2566.0351858200002</v>
      </c>
      <c r="CA59" s="42">
        <v>2566.3562823399998</v>
      </c>
      <c r="CB59" s="42">
        <v>2042.70115506</v>
      </c>
      <c r="CC59" s="42">
        <v>1637.86115408</v>
      </c>
      <c r="CD59" s="42">
        <v>1454.82002708</v>
      </c>
      <c r="CE59" s="42">
        <v>1349.1490499500001</v>
      </c>
      <c r="CF59" s="42">
        <v>1143.29471175</v>
      </c>
      <c r="CG59" s="42">
        <v>1181.8100460600001</v>
      </c>
      <c r="CH59" s="42">
        <v>1087.4831457499999</v>
      </c>
      <c r="CI59" s="42">
        <v>1080.62887267</v>
      </c>
      <c r="CJ59" s="42">
        <v>811.99968680999996</v>
      </c>
      <c r="CK59" s="42">
        <v>684.54284472999996</v>
      </c>
      <c r="CL59" s="42">
        <v>586.69336092000003</v>
      </c>
      <c r="CM59" s="42">
        <v>574.79921234000005</v>
      </c>
      <c r="CN59" s="42">
        <v>568.00537527999995</v>
      </c>
      <c r="CO59" s="42">
        <v>490.93253279999999</v>
      </c>
      <c r="CP59" s="42">
        <v>437.59238556999998</v>
      </c>
      <c r="CQ59" s="42">
        <v>392.83958564</v>
      </c>
      <c r="CR59" s="42">
        <v>278.7783311</v>
      </c>
      <c r="CS59" s="42">
        <v>252.74089063</v>
      </c>
      <c r="CT59" s="42">
        <v>359.97679640000001</v>
      </c>
      <c r="CU59" s="42">
        <v>316.92397864999998</v>
      </c>
      <c r="CV59" s="42">
        <v>213.48849999999999</v>
      </c>
      <c r="CW59" s="42">
        <v>152.18876058000001</v>
      </c>
      <c r="CX59" s="42">
        <v>152.63920941000001</v>
      </c>
      <c r="CY59" s="42">
        <v>100.59454886</v>
      </c>
      <c r="CZ59" s="42">
        <v>158.91064750000001</v>
      </c>
      <c r="DA59" s="42">
        <v>103.85586797000001</v>
      </c>
      <c r="DB59" s="42">
        <v>86.482703819999998</v>
      </c>
      <c r="DC59" s="42">
        <v>116.63367194999999</v>
      </c>
      <c r="DD59" s="42">
        <v>176.31208058000001</v>
      </c>
      <c r="DE59" s="42">
        <v>146.00369182</v>
      </c>
      <c r="DF59" s="42">
        <v>97.46757771</v>
      </c>
      <c r="DG59" s="42">
        <v>133.55680332</v>
      </c>
    </row>
    <row r="60" spans="1:111" s="30" customFormat="1" x14ac:dyDescent="0.3">
      <c r="A60" s="31" t="s">
        <v>26</v>
      </c>
      <c r="B60" s="25">
        <v>5.3472929300000001</v>
      </c>
      <c r="C60" s="25">
        <v>11.7596886</v>
      </c>
      <c r="D60" s="25">
        <v>9.8043926799999994</v>
      </c>
      <c r="E60" s="25">
        <v>11.170541059999998</v>
      </c>
      <c r="F60" s="25">
        <v>8.9980686400000014</v>
      </c>
      <c r="G60" s="25">
        <v>5.3568572699999999</v>
      </c>
      <c r="H60" s="25">
        <v>4.8148191499999999</v>
      </c>
      <c r="I60" s="25">
        <v>6.1054936799999995</v>
      </c>
      <c r="J60" s="25">
        <v>3.8682276599999996</v>
      </c>
      <c r="K60" s="25">
        <v>5.9558613999999999</v>
      </c>
      <c r="L60" s="26">
        <v>3.1122629000000002</v>
      </c>
      <c r="M60" s="29">
        <v>2.9609483600000002</v>
      </c>
      <c r="N60" s="29">
        <v>18.15391756</v>
      </c>
      <c r="O60" s="29">
        <v>0.79760182999999996</v>
      </c>
      <c r="P60" s="27">
        <v>1.8784700700000001</v>
      </c>
      <c r="Q60" s="27">
        <v>2.69574815</v>
      </c>
      <c r="R60" s="27">
        <v>6.6508264400000003</v>
      </c>
      <c r="S60" s="27">
        <v>14.71593637</v>
      </c>
      <c r="T60" s="27">
        <v>11.45594717</v>
      </c>
      <c r="U60" s="27">
        <v>10.67892758</v>
      </c>
      <c r="V60" s="27">
        <v>46.679234600000001</v>
      </c>
      <c r="W60" s="27">
        <v>57.258965160000002</v>
      </c>
      <c r="X60" s="27">
        <v>49.624577080000002</v>
      </c>
      <c r="Y60" s="27">
        <v>60.690094809999998</v>
      </c>
      <c r="Z60" s="27">
        <v>71.497019440000003</v>
      </c>
      <c r="AA60" s="27">
        <v>104.18897995</v>
      </c>
      <c r="AB60" s="27">
        <v>106.83224914</v>
      </c>
      <c r="AC60" s="27">
        <v>133.59838178999999</v>
      </c>
      <c r="AD60" s="27">
        <v>137.52792359</v>
      </c>
      <c r="AE60" s="27">
        <v>164.93170975000001</v>
      </c>
      <c r="AF60" s="27">
        <v>188.64184244</v>
      </c>
      <c r="AG60" s="27">
        <v>181.29453429</v>
      </c>
      <c r="AH60" s="27">
        <v>166.7298591</v>
      </c>
      <c r="AI60" s="27">
        <v>120.74058767</v>
      </c>
      <c r="AJ60" s="27">
        <v>84.028126069999999</v>
      </c>
      <c r="AK60" s="27">
        <v>56.48963775</v>
      </c>
      <c r="AL60" s="27">
        <v>51.446489929999998</v>
      </c>
      <c r="AM60" s="27">
        <v>55.438192970000003</v>
      </c>
      <c r="AN60" s="27">
        <v>42.703364720000003</v>
      </c>
      <c r="AO60" s="27">
        <v>0.34937101999999998</v>
      </c>
      <c r="AP60" s="27">
        <v>0.33852251999999999</v>
      </c>
      <c r="AQ60" s="27">
        <v>0.19379647999999999</v>
      </c>
      <c r="AR60" s="27">
        <v>10.663432909999999</v>
      </c>
      <c r="AS60" s="27">
        <v>15.94436116</v>
      </c>
      <c r="AT60" s="27">
        <v>1.4753684899999999</v>
      </c>
      <c r="AU60" s="27">
        <v>13.676547100000001</v>
      </c>
      <c r="AV60" s="27">
        <v>10.68747042</v>
      </c>
      <c r="AW60" s="27">
        <v>1.0996049999999999</v>
      </c>
      <c r="AX60" s="27">
        <v>2.879487E-2</v>
      </c>
      <c r="AY60" s="27">
        <v>0.28056871</v>
      </c>
      <c r="AZ60" s="27">
        <v>1.2761550399999999</v>
      </c>
      <c r="BA60" s="27">
        <v>0.93954629000000001</v>
      </c>
      <c r="BB60" s="27">
        <v>0.96484999999999999</v>
      </c>
      <c r="BC60" s="27">
        <v>1.1340863699999999</v>
      </c>
      <c r="BD60" s="27">
        <v>4.2078959600000001</v>
      </c>
      <c r="BE60" s="27">
        <v>4.2756180300000004</v>
      </c>
      <c r="BF60" s="27">
        <v>4.8905610800000003</v>
      </c>
      <c r="BG60" s="27">
        <v>1.6051414500000001</v>
      </c>
      <c r="BH60" s="27">
        <v>5.9959726900000003</v>
      </c>
      <c r="BI60" s="27">
        <v>2.580466E-2</v>
      </c>
      <c r="BJ60" s="27">
        <v>0.50736000000000003</v>
      </c>
      <c r="BK60" s="27">
        <v>0</v>
      </c>
      <c r="BL60" s="27">
        <v>0</v>
      </c>
      <c r="BM60" s="27">
        <v>0</v>
      </c>
      <c r="BN60" s="27">
        <v>0</v>
      </c>
      <c r="BO60" s="27">
        <v>0</v>
      </c>
      <c r="BP60" s="27">
        <v>0</v>
      </c>
      <c r="BQ60" s="27">
        <v>0</v>
      </c>
      <c r="BR60" s="27">
        <v>0</v>
      </c>
      <c r="BS60" s="27">
        <v>0.12783992999999999</v>
      </c>
      <c r="BT60" s="27">
        <v>0.17711826</v>
      </c>
      <c r="BU60" s="27">
        <v>0.13144293000000001</v>
      </c>
      <c r="BV60" s="27">
        <v>0.19293711</v>
      </c>
      <c r="BW60" s="27">
        <v>0.36487621999999997</v>
      </c>
      <c r="BX60" s="27">
        <v>0</v>
      </c>
      <c r="BY60" s="27">
        <v>0</v>
      </c>
      <c r="BZ60" s="27">
        <v>0.40492833</v>
      </c>
      <c r="CA60" s="27">
        <v>0.39480405000000002</v>
      </c>
      <c r="CB60" s="27">
        <v>0.45846888000000002</v>
      </c>
      <c r="CC60" s="27">
        <v>0.23280308999999999</v>
      </c>
      <c r="CD60" s="27">
        <v>0.56007728000000001</v>
      </c>
      <c r="CE60" s="27">
        <v>5.2310868299999997</v>
      </c>
      <c r="CF60" s="27">
        <v>1.1707996000000001</v>
      </c>
      <c r="CG60" s="27">
        <v>0.25743147999999999</v>
      </c>
      <c r="CH60" s="27">
        <v>23.941856120000001</v>
      </c>
      <c r="CI60" s="27">
        <v>1.69893111</v>
      </c>
      <c r="CJ60" s="27">
        <v>0.68682228999999995</v>
      </c>
      <c r="CK60" s="27">
        <v>0.23075672999999999</v>
      </c>
      <c r="CL60" s="27">
        <v>0.22859893000000001</v>
      </c>
      <c r="CM60" s="27">
        <v>6.2372844900000004</v>
      </c>
      <c r="CN60" s="27">
        <v>25.185064000000001</v>
      </c>
      <c r="CO60" s="27">
        <v>12.4493923</v>
      </c>
      <c r="CP60" s="27">
        <v>2.6409499999999999E-2</v>
      </c>
      <c r="CQ60" s="27">
        <v>5.2045500000000001E-2</v>
      </c>
      <c r="CR60" s="27">
        <v>1.0506E-2</v>
      </c>
      <c r="CS60" s="27">
        <v>0.13549304000000001</v>
      </c>
      <c r="CT60" s="27">
        <v>1.0983425</v>
      </c>
      <c r="CU60" s="27">
        <v>2.319118</v>
      </c>
      <c r="CV60" s="27">
        <v>2.2227500000000001E-2</v>
      </c>
      <c r="CW60" s="27">
        <v>9.4970499999999999E-2</v>
      </c>
      <c r="CX60" s="27">
        <v>2.4420500000000001E-2</v>
      </c>
      <c r="CY60" s="27">
        <v>0.1061125</v>
      </c>
      <c r="CZ60" s="27">
        <v>2.1783E-2</v>
      </c>
      <c r="DA60" s="27">
        <v>0.414412</v>
      </c>
      <c r="DB60" s="27">
        <v>0.31857649999999998</v>
      </c>
      <c r="DC60" s="27">
        <v>0.37096521999999998</v>
      </c>
      <c r="DD60" s="27">
        <v>30.411479020000002</v>
      </c>
      <c r="DE60" s="27">
        <v>24.882142699999999</v>
      </c>
      <c r="DF60" s="27">
        <v>6.7097164999999999</v>
      </c>
      <c r="DG60" s="27">
        <v>14.4472933</v>
      </c>
    </row>
    <row r="61" spans="1:111" s="113" customFormat="1" x14ac:dyDescent="0.3">
      <c r="A61" s="107" t="s">
        <v>27</v>
      </c>
      <c r="B61" s="108">
        <f t="shared" ref="B61:I61" si="13">IFERROR(100*(B60/B59),0)</f>
        <v>7.2740856698275138</v>
      </c>
      <c r="C61" s="108">
        <f t="shared" si="13"/>
        <v>6.0840912867166565E-2</v>
      </c>
      <c r="D61" s="108">
        <f t="shared" si="13"/>
        <v>4.6501136181354707E-2</v>
      </c>
      <c r="E61" s="108">
        <f t="shared" si="13"/>
        <v>2.0068595942127291E-2</v>
      </c>
      <c r="F61" s="108">
        <f t="shared" si="13"/>
        <v>1.6188830211367168E-2</v>
      </c>
      <c r="G61" s="108">
        <f t="shared" si="13"/>
        <v>1.063416700302041E-2</v>
      </c>
      <c r="H61" s="108">
        <f t="shared" si="13"/>
        <v>9.7513681348970309E-3</v>
      </c>
      <c r="I61" s="108">
        <f t="shared" si="13"/>
        <v>1.1822210084830826E-2</v>
      </c>
      <c r="J61" s="109">
        <v>7.6216830784966178E-3</v>
      </c>
      <c r="K61" s="109">
        <v>1.1473635592903601E-2</v>
      </c>
      <c r="L61" s="109">
        <v>5.9338964191288099E-3</v>
      </c>
      <c r="M61" s="110">
        <v>5.2622953739807597E-3</v>
      </c>
      <c r="N61" s="111">
        <v>8.33469770398612E-2</v>
      </c>
      <c r="O61" s="111">
        <v>3.93943777954733E-3</v>
      </c>
      <c r="P61" s="110">
        <v>9.6866503232340001E-3</v>
      </c>
      <c r="Q61" s="110">
        <v>1.39856172468507E-2</v>
      </c>
      <c r="R61" s="110">
        <v>3.5012253551445001E-2</v>
      </c>
      <c r="S61" s="110">
        <v>13.3124843180896</v>
      </c>
      <c r="T61" s="110">
        <v>8.8371909478405293</v>
      </c>
      <c r="U61" s="110">
        <v>6.8138540487767196</v>
      </c>
      <c r="V61" s="110">
        <v>37.745131611843298</v>
      </c>
      <c r="W61" s="110">
        <v>32.054535640498401</v>
      </c>
      <c r="X61" s="110">
        <v>31.152218337754601</v>
      </c>
      <c r="Y61" s="110">
        <v>19.128746426561499</v>
      </c>
      <c r="Z61" s="110">
        <v>22.1161608735963</v>
      </c>
      <c r="AA61" s="110">
        <v>24.138171708912999</v>
      </c>
      <c r="AB61" s="110">
        <v>24.730190889473899</v>
      </c>
      <c r="AC61" s="110">
        <v>21.781188147891701</v>
      </c>
      <c r="AD61" s="110">
        <v>22.572198786709301</v>
      </c>
      <c r="AE61" s="110">
        <v>22.6253105648866</v>
      </c>
      <c r="AF61" s="110">
        <v>16.471189537651401</v>
      </c>
      <c r="AG61" s="110">
        <v>17.583952520762299</v>
      </c>
      <c r="AH61" s="110">
        <v>14.5446283429654</v>
      </c>
      <c r="AI61" s="110">
        <v>14.148766555978</v>
      </c>
      <c r="AJ61" s="110">
        <v>9.9194701956256601</v>
      </c>
      <c r="AK61" s="110">
        <v>6.3558674659870702</v>
      </c>
      <c r="AL61" s="110">
        <v>7.4873879572545396</v>
      </c>
      <c r="AM61" s="110">
        <v>9.0454353703450394</v>
      </c>
      <c r="AN61" s="110">
        <v>6.9926337041905304</v>
      </c>
      <c r="AO61" s="110">
        <v>5.97369565904688E-2</v>
      </c>
      <c r="AP61" s="110">
        <v>4.79940356893091E-2</v>
      </c>
      <c r="AQ61" s="110">
        <v>3.0904801306108801E-2</v>
      </c>
      <c r="AR61" s="110">
        <v>1.99447277573258</v>
      </c>
      <c r="AS61" s="110">
        <v>1.6734369026115501</v>
      </c>
      <c r="AT61" s="110">
        <v>0.18423403650079601</v>
      </c>
      <c r="AU61" s="110">
        <v>2.3828341295464499</v>
      </c>
      <c r="AV61" s="110">
        <v>0.86859099091236502</v>
      </c>
      <c r="AW61" s="110">
        <v>0.174872964375477</v>
      </c>
      <c r="AX61" s="110">
        <v>3.0172925895157001E-3</v>
      </c>
      <c r="AY61" s="110">
        <v>2.4235142690447801E-2</v>
      </c>
      <c r="AZ61" s="110">
        <v>7.0728050013015006E-2</v>
      </c>
      <c r="BA61" s="110">
        <v>4.1141693866348999E-2</v>
      </c>
      <c r="BB61" s="110">
        <v>4.1109644194668699E-2</v>
      </c>
      <c r="BC61" s="110">
        <v>4.8331962903532498E-2</v>
      </c>
      <c r="BD61" s="110">
        <v>0.175894140056368</v>
      </c>
      <c r="BE61" s="110">
        <v>0.18281833063658801</v>
      </c>
      <c r="BF61" s="110">
        <v>0.226134291364539</v>
      </c>
      <c r="BG61" s="110">
        <v>8.02338318246551E-2</v>
      </c>
      <c r="BH61" s="110">
        <v>0.44256517794385702</v>
      </c>
      <c r="BI61" s="110">
        <v>1.64616290456319E-3</v>
      </c>
      <c r="BJ61" s="110">
        <v>2.7306963044733099E-2</v>
      </c>
      <c r="BK61" s="110">
        <v>0</v>
      </c>
      <c r="BL61" s="110">
        <v>0</v>
      </c>
      <c r="BM61" s="110">
        <v>0</v>
      </c>
      <c r="BN61" s="110">
        <v>0</v>
      </c>
      <c r="BO61" s="110">
        <v>0</v>
      </c>
      <c r="BP61" s="110">
        <v>0</v>
      </c>
      <c r="BQ61" s="110">
        <v>0</v>
      </c>
      <c r="BR61" s="110">
        <v>0</v>
      </c>
      <c r="BS61" s="110">
        <v>3.2579565651751699E-3</v>
      </c>
      <c r="BT61" s="110">
        <v>4.1820822538000801E-3</v>
      </c>
      <c r="BU61" s="110">
        <v>3.2262289499501002E-3</v>
      </c>
      <c r="BV61" s="110">
        <v>4.5542571481898596E-3</v>
      </c>
      <c r="BW61" s="110">
        <v>9.4716428288622208E-3</v>
      </c>
      <c r="BX61" s="110">
        <v>0</v>
      </c>
      <c r="BY61" s="110">
        <v>0</v>
      </c>
      <c r="BZ61" s="110">
        <v>1.5780310895097901E-2</v>
      </c>
      <c r="CA61" s="110">
        <v>1.53838363253296E-2</v>
      </c>
      <c r="CB61" s="110">
        <v>2.2444246377612401E-2</v>
      </c>
      <c r="CC61" s="110">
        <v>1.4213847701319201E-2</v>
      </c>
      <c r="CD61" s="110">
        <v>3.8498045777122201E-2</v>
      </c>
      <c r="CE61" s="110">
        <v>0.38773231394958702</v>
      </c>
      <c r="CF61" s="110">
        <v>0.10240575662314599</v>
      </c>
      <c r="CG61" s="110">
        <v>2.1782813647442101E-2</v>
      </c>
      <c r="CH61" s="110">
        <v>2.2015841085507701</v>
      </c>
      <c r="CI61" s="110">
        <v>0.157216890365173</v>
      </c>
      <c r="CJ61" s="110">
        <v>8.4584058486306998E-2</v>
      </c>
      <c r="CK61" s="110">
        <v>3.37096109873175E-2</v>
      </c>
      <c r="CL61" s="110">
        <v>3.8963953783545703E-2</v>
      </c>
      <c r="CM61" s="110">
        <v>1.0851240495977901</v>
      </c>
      <c r="CN61" s="110">
        <v>4.4339481800827896</v>
      </c>
      <c r="CO61" s="110">
        <v>2.5358662276862698</v>
      </c>
      <c r="CP61" s="110">
        <v>6.0351827113260797E-3</v>
      </c>
      <c r="CQ61" s="110">
        <v>1.32485375462377E-2</v>
      </c>
      <c r="CR61" s="110">
        <v>3.7685855850221801E-3</v>
      </c>
      <c r="CS61" s="110">
        <v>5.3609465275785202E-2</v>
      </c>
      <c r="CT61" s="110">
        <v>0.30511480489413001</v>
      </c>
      <c r="CU61" s="110">
        <v>0.73175845194129496</v>
      </c>
      <c r="CV61" s="110">
        <v>1.0411567836206601E-2</v>
      </c>
      <c r="CW61" s="110">
        <v>6.2403097073701098E-2</v>
      </c>
      <c r="CX61" s="110">
        <v>1.5998838106141399E-2</v>
      </c>
      <c r="CY61" s="110">
        <v>0.105485338124712</v>
      </c>
      <c r="CZ61" s="110">
        <v>1.37077032550635E-2</v>
      </c>
      <c r="DA61" s="110">
        <v>0.39902608114517701</v>
      </c>
      <c r="DB61" s="110">
        <v>0.36837018956191098</v>
      </c>
      <c r="DC61" s="110">
        <v>0.31806013975023401</v>
      </c>
      <c r="DD61" s="110">
        <v>17.248664368293799</v>
      </c>
      <c r="DE61" s="110">
        <v>17.0421325583163</v>
      </c>
      <c r="DF61" s="110">
        <v>6.8840497092928103</v>
      </c>
      <c r="DG61" s="110">
        <v>10.8173398440696</v>
      </c>
    </row>
    <row r="62" spans="1:111" x14ac:dyDescent="0.3">
      <c r="B62" s="2"/>
      <c r="C62" s="2"/>
      <c r="D62" s="2"/>
      <c r="E62" s="122"/>
      <c r="F62" s="2"/>
      <c r="G62" s="2"/>
      <c r="H62" s="2"/>
      <c r="I62" s="122"/>
      <c r="J62" s="2"/>
      <c r="K62" s="2"/>
      <c r="L62" s="2"/>
    </row>
    <row r="63" spans="1:111" s="55" customFormat="1" ht="28.8" x14ac:dyDescent="0.3">
      <c r="A63" s="123" t="s">
        <v>33</v>
      </c>
      <c r="B63" s="124">
        <f t="shared" ref="B63:I63" si="14">B66-B64</f>
        <v>633103.2182224429</v>
      </c>
      <c r="C63" s="124">
        <f t="shared" si="14"/>
        <v>842804.46546424006</v>
      </c>
      <c r="D63" s="124">
        <f t="shared" si="14"/>
        <v>894554.88264166017</v>
      </c>
      <c r="E63" s="124">
        <f t="shared" si="14"/>
        <v>913395.92546093185</v>
      </c>
      <c r="F63" s="124">
        <f t="shared" si="14"/>
        <v>930777.69957381254</v>
      </c>
      <c r="G63" s="124">
        <f t="shared" si="14"/>
        <v>932210.98932553991</v>
      </c>
      <c r="H63" s="124">
        <f t="shared" si="14"/>
        <v>957211.90958365286</v>
      </c>
      <c r="I63" s="124">
        <f t="shared" si="14"/>
        <v>948947.77962021262</v>
      </c>
      <c r="J63" s="124">
        <v>959944.37650219072</v>
      </c>
      <c r="K63" s="124">
        <v>966302.46249588998</v>
      </c>
      <c r="L63" s="124">
        <v>968337.91426294995</v>
      </c>
      <c r="M63" s="164">
        <v>1029217.8352014601</v>
      </c>
      <c r="N63" s="164">
        <v>1030428.1711161101</v>
      </c>
      <c r="O63" s="164">
        <v>1032750.98301278</v>
      </c>
      <c r="P63" s="164">
        <v>1038473.0281847999</v>
      </c>
      <c r="Q63" s="164">
        <v>1047665.61003932</v>
      </c>
      <c r="R63" s="164">
        <v>1057663.90746045</v>
      </c>
      <c r="S63" s="164">
        <v>1056052.62874514</v>
      </c>
      <c r="T63" s="164">
        <v>1067426.87788748</v>
      </c>
      <c r="U63" s="164">
        <v>1055269.1236985601</v>
      </c>
      <c r="V63" s="164">
        <v>1068305.3664861801</v>
      </c>
      <c r="W63" s="164">
        <v>1069760.6003017901</v>
      </c>
      <c r="X63" s="164">
        <v>1059552.20009796</v>
      </c>
      <c r="Y63" s="164">
        <v>1085219.9935077799</v>
      </c>
      <c r="Z63" s="164">
        <v>1097508.7914094599</v>
      </c>
      <c r="AA63" s="164">
        <v>1100989.9546837399</v>
      </c>
      <c r="AB63" s="164">
        <v>1100805.6791552</v>
      </c>
      <c r="AC63" s="164">
        <v>1094754.11446233</v>
      </c>
      <c r="AD63" s="164">
        <v>1085292.0800747899</v>
      </c>
      <c r="AE63" s="164">
        <v>1084781.7055345101</v>
      </c>
      <c r="AF63" s="164">
        <v>1082992.7057855399</v>
      </c>
      <c r="AG63" s="164">
        <v>1092906.49081469</v>
      </c>
      <c r="AH63" s="164">
        <v>1103750.92669469</v>
      </c>
      <c r="AI63" s="164">
        <v>1114720.8492678001</v>
      </c>
      <c r="AJ63" s="164">
        <v>1122289.8449615401</v>
      </c>
      <c r="AK63" s="164">
        <v>1175539.2510659499</v>
      </c>
      <c r="AL63" s="164">
        <v>1201110.2075302401</v>
      </c>
      <c r="AM63" s="164">
        <v>1205010.08304047</v>
      </c>
      <c r="AN63" s="164">
        <v>1183175.5585777999</v>
      </c>
      <c r="AO63" s="164">
        <v>1206666.5960258499</v>
      </c>
      <c r="AP63" s="164">
        <v>1232159.8716969299</v>
      </c>
      <c r="AQ63" s="164">
        <v>1229897.16541603</v>
      </c>
      <c r="AR63" s="164">
        <v>1245457.8929005901</v>
      </c>
      <c r="AS63" s="164">
        <v>1257645.2682653901</v>
      </c>
      <c r="AT63" s="164">
        <v>1288376.81429244</v>
      </c>
      <c r="AU63" s="164">
        <v>1300363.8435513901</v>
      </c>
      <c r="AV63" s="164">
        <v>1315018.3035699299</v>
      </c>
      <c r="AW63" s="164">
        <v>1393120.4557504901</v>
      </c>
      <c r="AX63" s="164">
        <v>1393629.16035376</v>
      </c>
      <c r="AY63" s="164">
        <v>1404721.6131275599</v>
      </c>
      <c r="AZ63" s="164">
        <v>1411335.10240065</v>
      </c>
      <c r="BA63" s="164">
        <v>1426116.4032761899</v>
      </c>
      <c r="BB63" s="164">
        <v>1444533.1012749099</v>
      </c>
      <c r="BC63" s="164">
        <v>1461103.81895438</v>
      </c>
      <c r="BD63" s="164">
        <v>1471825.4437690801</v>
      </c>
      <c r="BE63" s="164">
        <v>1452704.1681397599</v>
      </c>
      <c r="BF63" s="164">
        <v>1486916.6482627201</v>
      </c>
      <c r="BG63" s="164">
        <v>1517654.0348058201</v>
      </c>
      <c r="BH63" s="164">
        <v>1524166.1682070901</v>
      </c>
      <c r="BI63" s="164">
        <v>1608377.7080167499</v>
      </c>
      <c r="BJ63" s="164">
        <v>1572050.1918482301</v>
      </c>
      <c r="BK63" s="164">
        <v>1565770.6528679118</v>
      </c>
      <c r="BL63" s="164">
        <v>1573964.7188090701</v>
      </c>
      <c r="BM63" s="164">
        <v>1614781.93355818</v>
      </c>
      <c r="BN63" s="164">
        <v>1620404.27456492</v>
      </c>
      <c r="BO63" s="164">
        <v>1626912.16689139</v>
      </c>
      <c r="BP63" s="164">
        <v>1633087.9686922301</v>
      </c>
      <c r="BQ63" s="164">
        <v>1647433.0053777599</v>
      </c>
      <c r="BR63" s="164">
        <v>1675100.60403571</v>
      </c>
      <c r="BS63" s="164">
        <v>1725324.4558232999</v>
      </c>
      <c r="BT63" s="164">
        <v>1754455.54327729</v>
      </c>
      <c r="BU63" s="164">
        <v>1839521.6651482</v>
      </c>
      <c r="BV63" s="164">
        <v>1822994.7000089099</v>
      </c>
      <c r="BW63" s="164">
        <v>1861890.1478365799</v>
      </c>
      <c r="BX63" s="164">
        <v>1887977.20102373</v>
      </c>
      <c r="BY63" s="164">
        <v>1945729.5683098999</v>
      </c>
      <c r="BZ63" s="164">
        <v>1962434.95716477</v>
      </c>
      <c r="CA63" s="164">
        <v>2021753.38042192</v>
      </c>
      <c r="CB63" s="164">
        <v>2077399.3797180201</v>
      </c>
      <c r="CC63" s="164">
        <v>2081226.2272238701</v>
      </c>
      <c r="CD63" s="164">
        <v>2116967.4383622701</v>
      </c>
      <c r="CE63" s="164">
        <v>2127375.4013190302</v>
      </c>
      <c r="CF63" s="164">
        <v>2193927.0144632598</v>
      </c>
      <c r="CG63" s="164">
        <v>2328282.5058462899</v>
      </c>
      <c r="CH63" s="164">
        <v>2294528.5811422099</v>
      </c>
      <c r="CI63" s="164">
        <v>2296341.9262780999</v>
      </c>
      <c r="CJ63" s="164">
        <v>2330759.2520880601</v>
      </c>
      <c r="CK63" s="164">
        <v>2362753.13761567</v>
      </c>
      <c r="CL63" s="164">
        <v>2386146.2859326</v>
      </c>
      <c r="CM63" s="164">
        <v>2434928.8459185902</v>
      </c>
      <c r="CN63" s="164">
        <v>2442604.89444181</v>
      </c>
      <c r="CO63" s="164">
        <v>2436236.8750773999</v>
      </c>
      <c r="CP63" s="164">
        <v>2454023.5563380802</v>
      </c>
      <c r="CQ63" s="164">
        <v>2490944.67044811</v>
      </c>
      <c r="CR63" s="164">
        <v>2519423.5400886401</v>
      </c>
      <c r="CS63" s="164">
        <v>2621852.7543154401</v>
      </c>
      <c r="CT63" s="164">
        <v>2585644.3948870301</v>
      </c>
      <c r="CU63" s="164">
        <v>2648077.7283469802</v>
      </c>
      <c r="CV63" s="164">
        <v>2627061.0790403099</v>
      </c>
      <c r="CW63" s="164">
        <v>2699449.7268550699</v>
      </c>
      <c r="CX63" s="164">
        <v>2701015.9176888801</v>
      </c>
      <c r="CY63" s="164">
        <v>2708656.2940983898</v>
      </c>
      <c r="CZ63" s="164">
        <v>2702631.9552599201</v>
      </c>
      <c r="DA63" s="164">
        <v>2719497.8758306801</v>
      </c>
      <c r="DB63" s="164">
        <v>2773494.07328626</v>
      </c>
      <c r="DC63" s="164">
        <v>2839328.9315404799</v>
      </c>
      <c r="DD63" s="164">
        <v>2899793.00526912</v>
      </c>
      <c r="DE63" s="164">
        <v>2953431.7086842698</v>
      </c>
      <c r="DF63" s="164">
        <v>2912053.6808397002</v>
      </c>
      <c r="DG63" s="164">
        <v>2928656.4487271998</v>
      </c>
    </row>
    <row r="64" spans="1:111" s="30" customFormat="1" x14ac:dyDescent="0.3">
      <c r="A64" s="126" t="s">
        <v>34</v>
      </c>
      <c r="B64" s="127">
        <v>129297.1625644779</v>
      </c>
      <c r="C64" s="127">
        <v>153665.02794404072</v>
      </c>
      <c r="D64" s="127">
        <v>123851.50224349982</v>
      </c>
      <c r="E64" s="127">
        <v>90401.921282608819</v>
      </c>
      <c r="F64" s="127">
        <v>88648.91303311738</v>
      </c>
      <c r="G64" s="127">
        <v>91844.342509020062</v>
      </c>
      <c r="H64" s="127">
        <v>95671.281121497319</v>
      </c>
      <c r="I64" s="127">
        <v>95327.942515797302</v>
      </c>
      <c r="J64" s="127">
        <v>92882.171271850166</v>
      </c>
      <c r="K64" s="127">
        <v>92804.893663969895</v>
      </c>
      <c r="L64" s="127">
        <v>96549.097250749794</v>
      </c>
      <c r="M64" s="128">
        <v>87246.047200760004</v>
      </c>
      <c r="N64" s="128">
        <v>76538.896930390198</v>
      </c>
      <c r="O64" s="128">
        <v>78744.513209420504</v>
      </c>
      <c r="P64" s="128">
        <v>78142.256921619904</v>
      </c>
      <c r="Q64" s="128">
        <v>82431.562909550106</v>
      </c>
      <c r="R64" s="128">
        <v>77703.794798070099</v>
      </c>
      <c r="S64" s="128">
        <v>72362.895061640098</v>
      </c>
      <c r="T64" s="128">
        <v>68912.273470370099</v>
      </c>
      <c r="U64" s="128">
        <v>70809.047498150307</v>
      </c>
      <c r="V64" s="128">
        <v>70166.833396710193</v>
      </c>
      <c r="W64" s="128">
        <v>69210.166273630006</v>
      </c>
      <c r="X64" s="128">
        <v>64396.193161789997</v>
      </c>
      <c r="Y64" s="128">
        <v>67403.545546380104</v>
      </c>
      <c r="Z64" s="128">
        <v>58242.3231293801</v>
      </c>
      <c r="AA64" s="128">
        <v>59261.554016230402</v>
      </c>
      <c r="AB64" s="128">
        <v>61243.833975749803</v>
      </c>
      <c r="AC64" s="128">
        <v>74763.351256369802</v>
      </c>
      <c r="AD64" s="128">
        <v>59557.4371222302</v>
      </c>
      <c r="AE64" s="128">
        <v>70976.008491399902</v>
      </c>
      <c r="AF64" s="128">
        <v>65968.582268090002</v>
      </c>
      <c r="AG64" s="128">
        <v>64222.148851370403</v>
      </c>
      <c r="AH64" s="128">
        <v>66018.198841789999</v>
      </c>
      <c r="AI64" s="128">
        <v>62977.797368350199</v>
      </c>
      <c r="AJ64" s="128">
        <v>68915.785561230296</v>
      </c>
      <c r="AK64" s="128">
        <v>89666.917354819801</v>
      </c>
      <c r="AL64" s="128">
        <v>70827.407819760003</v>
      </c>
      <c r="AM64" s="128">
        <v>80214.890216589905</v>
      </c>
      <c r="AN64" s="128">
        <v>57429.6584441101</v>
      </c>
      <c r="AO64" s="128">
        <v>63546.252277810097</v>
      </c>
      <c r="AP64" s="128">
        <v>73553.477371949906</v>
      </c>
      <c r="AQ64" s="128">
        <v>73738.573016339898</v>
      </c>
      <c r="AR64" s="128">
        <v>71197.455613190104</v>
      </c>
      <c r="AS64" s="128">
        <v>76030.549087780106</v>
      </c>
      <c r="AT64" s="128">
        <v>65909.910295430105</v>
      </c>
      <c r="AU64" s="128">
        <v>69054.051491810198</v>
      </c>
      <c r="AV64" s="128">
        <v>69818.088180220002</v>
      </c>
      <c r="AW64" s="128">
        <v>71422.683676820001</v>
      </c>
      <c r="AX64" s="128">
        <v>69856.491652369703</v>
      </c>
      <c r="AY64" s="128">
        <v>71573.021968210101</v>
      </c>
      <c r="AZ64" s="128">
        <v>62926.9509808496</v>
      </c>
      <c r="BA64" s="128">
        <v>69196.487236390094</v>
      </c>
      <c r="BB64" s="128">
        <v>67786.062774670107</v>
      </c>
      <c r="BC64" s="128">
        <v>69183.4777919396</v>
      </c>
      <c r="BD64" s="128">
        <v>73582.034237949905</v>
      </c>
      <c r="BE64" s="128">
        <v>76986.9985149899</v>
      </c>
      <c r="BF64" s="128">
        <v>72434.527005310199</v>
      </c>
      <c r="BG64" s="128">
        <v>71013.218268090393</v>
      </c>
      <c r="BH64" s="128">
        <v>74688.792848079698</v>
      </c>
      <c r="BI64" s="128">
        <v>71184.628866900195</v>
      </c>
      <c r="BJ64" s="128">
        <v>61009.014610070299</v>
      </c>
      <c r="BK64" s="128">
        <v>45140.252708298736</v>
      </c>
      <c r="BL64" s="128">
        <v>61350.270567759901</v>
      </c>
      <c r="BM64" s="128">
        <v>59757.2950677802</v>
      </c>
      <c r="BN64" s="128">
        <v>63317.439410570099</v>
      </c>
      <c r="BO64" s="128">
        <v>59925.725247359398</v>
      </c>
      <c r="BP64" s="128">
        <v>92323.155666280101</v>
      </c>
      <c r="BQ64" s="128">
        <v>90299.260112999706</v>
      </c>
      <c r="BR64" s="128">
        <v>63774.853308209902</v>
      </c>
      <c r="BS64" s="128">
        <v>51222.727801479603</v>
      </c>
      <c r="BT64" s="128">
        <v>45294.038592159697</v>
      </c>
      <c r="BU64" s="128">
        <v>58024.628277919997</v>
      </c>
      <c r="BV64" s="128">
        <v>53776.800111240002</v>
      </c>
      <c r="BW64" s="128">
        <v>42654.506821099902</v>
      </c>
      <c r="BX64" s="128">
        <v>36057.927777030003</v>
      </c>
      <c r="BY64" s="128">
        <v>41877.5727254003</v>
      </c>
      <c r="BZ64" s="128">
        <v>40880.3507900599</v>
      </c>
      <c r="CA64" s="128">
        <v>37778.310392470099</v>
      </c>
      <c r="CB64" s="128">
        <v>40591.2619093701</v>
      </c>
      <c r="CC64" s="128">
        <v>39222.7130602002</v>
      </c>
      <c r="CD64" s="128">
        <v>37903.557507380399</v>
      </c>
      <c r="CE64" s="128">
        <v>36402.360218630201</v>
      </c>
      <c r="CF64" s="128">
        <v>40023.6685210699</v>
      </c>
      <c r="CG64" s="128">
        <v>57560.256571920101</v>
      </c>
      <c r="CH64" s="128">
        <v>47650.911790159997</v>
      </c>
      <c r="CI64" s="128">
        <v>64067.204251039802</v>
      </c>
      <c r="CJ64" s="128">
        <v>72732.546651029494</v>
      </c>
      <c r="CK64" s="128">
        <v>51255.919498720701</v>
      </c>
      <c r="CL64" s="128">
        <v>59584.781670169898</v>
      </c>
      <c r="CM64" s="128">
        <v>65289.194776229997</v>
      </c>
      <c r="CN64" s="129">
        <v>59942.483925530702</v>
      </c>
      <c r="CO64" s="129">
        <v>66981.369646650695</v>
      </c>
      <c r="CP64" s="129">
        <v>69424.735069429997</v>
      </c>
      <c r="CQ64" s="129">
        <v>68292.140214240193</v>
      </c>
      <c r="CR64" s="129">
        <v>77152.037563310005</v>
      </c>
      <c r="CS64" s="129">
        <v>99394.501327740494</v>
      </c>
      <c r="CT64" s="129">
        <v>90176.663795839995</v>
      </c>
      <c r="CU64" s="129">
        <v>87402.498254049598</v>
      </c>
      <c r="CV64" s="129">
        <v>87569.884326700107</v>
      </c>
      <c r="CW64" s="129">
        <v>79710.199392590206</v>
      </c>
      <c r="CX64" s="129">
        <v>91609.222445630003</v>
      </c>
      <c r="CY64" s="129">
        <v>97335.933876689494</v>
      </c>
      <c r="CZ64" s="129">
        <v>98904.725296389806</v>
      </c>
      <c r="DA64" s="129">
        <v>115525.03415717999</v>
      </c>
      <c r="DB64" s="129">
        <v>108772.17037733</v>
      </c>
      <c r="DC64" s="129">
        <v>108676.19202921999</v>
      </c>
      <c r="DD64" s="129">
        <v>118654.657154759</v>
      </c>
      <c r="DE64" s="129">
        <v>136904.35188932999</v>
      </c>
      <c r="DF64" s="129">
        <v>129496.54699539</v>
      </c>
      <c r="DG64" s="129">
        <v>131858.40069899001</v>
      </c>
    </row>
    <row r="65" spans="1:111" x14ac:dyDescent="0.3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11" s="55" customFormat="1" x14ac:dyDescent="0.3">
      <c r="A66" s="131" t="s">
        <v>35</v>
      </c>
      <c r="B66" s="51">
        <v>762400.38078692078</v>
      </c>
      <c r="C66" s="51">
        <v>996469.49340828077</v>
      </c>
      <c r="D66" s="51">
        <v>1018406.38488516</v>
      </c>
      <c r="E66" s="51">
        <v>1003797.8467435407</v>
      </c>
      <c r="F66" s="51">
        <v>1019426.61260693</v>
      </c>
      <c r="G66" s="51">
        <v>1024055.3318345599</v>
      </c>
      <c r="H66" s="51">
        <v>1052883.1907051501</v>
      </c>
      <c r="I66" s="51">
        <v>1044275.72213601</v>
      </c>
      <c r="J66" s="51">
        <v>1052826.5477740408</v>
      </c>
      <c r="K66" s="51">
        <v>1059107.35615986</v>
      </c>
      <c r="L66" s="51">
        <v>1064887.0115137</v>
      </c>
      <c r="M66" s="50">
        <v>1116463.88240222</v>
      </c>
      <c r="N66" s="50">
        <v>1106967.0680465</v>
      </c>
      <c r="O66" s="50">
        <v>1111495.4962222001</v>
      </c>
      <c r="P66" s="50">
        <v>1116615.2851064201</v>
      </c>
      <c r="Q66" s="50">
        <v>1130097.1729488701</v>
      </c>
      <c r="R66" s="50">
        <v>1135367.7022585201</v>
      </c>
      <c r="S66" s="50">
        <v>1128415.5238067801</v>
      </c>
      <c r="T66" s="50">
        <v>1136339.1513578501</v>
      </c>
      <c r="U66" s="50">
        <v>1126078.1711967101</v>
      </c>
      <c r="V66" s="50">
        <v>1138472.1998828901</v>
      </c>
      <c r="W66" s="50">
        <v>1138970.76657542</v>
      </c>
      <c r="X66" s="50">
        <v>1123948.39325975</v>
      </c>
      <c r="Y66" s="50">
        <v>1152623.53905416</v>
      </c>
      <c r="Z66" s="50">
        <v>1155751.11453884</v>
      </c>
      <c r="AA66" s="50">
        <v>1160251.5086999701</v>
      </c>
      <c r="AB66" s="50">
        <v>1162049.51313095</v>
      </c>
      <c r="AC66" s="50">
        <v>1169517.4657187001</v>
      </c>
      <c r="AD66" s="50">
        <v>1144849.5171970199</v>
      </c>
      <c r="AE66" s="50">
        <v>1155757.71402591</v>
      </c>
      <c r="AF66" s="50">
        <v>1148961.2880536299</v>
      </c>
      <c r="AG66" s="50">
        <v>1157128.63966606</v>
      </c>
      <c r="AH66" s="50">
        <v>1169769.12553648</v>
      </c>
      <c r="AI66" s="50">
        <v>1177698.6466361501</v>
      </c>
      <c r="AJ66" s="50">
        <v>1191205.6305227701</v>
      </c>
      <c r="AK66" s="50">
        <v>1265206.16842077</v>
      </c>
      <c r="AL66" s="50">
        <v>1271937.6153500001</v>
      </c>
      <c r="AM66" s="50">
        <v>1285224.9732570599</v>
      </c>
      <c r="AN66" s="50">
        <v>1240605.21702191</v>
      </c>
      <c r="AO66" s="50">
        <v>1270212.8483036601</v>
      </c>
      <c r="AP66" s="50">
        <v>1305713.3490688801</v>
      </c>
      <c r="AQ66" s="50">
        <v>1303635.7384323699</v>
      </c>
      <c r="AR66" s="50">
        <v>1316655.3485137799</v>
      </c>
      <c r="AS66" s="50">
        <v>1333675.8173531699</v>
      </c>
      <c r="AT66" s="50">
        <v>1354286.7245878701</v>
      </c>
      <c r="AU66" s="50">
        <v>1369417.8950432001</v>
      </c>
      <c r="AV66" s="50">
        <v>1384836.3917501499</v>
      </c>
      <c r="AW66" s="50">
        <v>1464543.1394273101</v>
      </c>
      <c r="AX66" s="50">
        <v>1463485.65200613</v>
      </c>
      <c r="AY66" s="50">
        <v>1476294.63509577</v>
      </c>
      <c r="AZ66" s="50">
        <v>1474262.0533815001</v>
      </c>
      <c r="BA66" s="50">
        <v>1495312.8905125801</v>
      </c>
      <c r="BB66" s="50">
        <v>1512319.16404958</v>
      </c>
      <c r="BC66" s="50">
        <v>1530287.2967463201</v>
      </c>
      <c r="BD66" s="50">
        <v>1545407.47800703</v>
      </c>
      <c r="BE66" s="50">
        <v>1529691.16665475</v>
      </c>
      <c r="BF66" s="50">
        <v>1559351.17526803</v>
      </c>
      <c r="BG66" s="50">
        <v>1588667.25307391</v>
      </c>
      <c r="BH66" s="50">
        <v>1598854.96105517</v>
      </c>
      <c r="BI66" s="50">
        <v>1679562.3368836499</v>
      </c>
      <c r="BJ66" s="50">
        <v>1633059.2064582999</v>
      </c>
      <c r="BK66" s="50">
        <v>1610910.9055762107</v>
      </c>
      <c r="BL66" s="50">
        <v>1635314.9893768299</v>
      </c>
      <c r="BM66" s="50">
        <v>1674539.2286259599</v>
      </c>
      <c r="BN66" s="50">
        <v>1683721.7139754901</v>
      </c>
      <c r="BO66" s="50">
        <v>1686837.8921387501</v>
      </c>
      <c r="BP66" s="50">
        <v>1725411.1243585099</v>
      </c>
      <c r="BQ66" s="50">
        <v>1737732.2654907601</v>
      </c>
      <c r="BR66" s="50">
        <v>1738875.4573439199</v>
      </c>
      <c r="BS66" s="50">
        <v>1776547.18362478</v>
      </c>
      <c r="BT66" s="50">
        <v>1799749.5818694499</v>
      </c>
      <c r="BU66" s="50">
        <v>1897546.29342612</v>
      </c>
      <c r="BV66" s="50">
        <v>1876771.5001201499</v>
      </c>
      <c r="BW66" s="50">
        <v>1904544.6546576801</v>
      </c>
      <c r="BX66" s="50">
        <v>1924035.12880076</v>
      </c>
      <c r="BY66" s="50">
        <v>1987607.1410353</v>
      </c>
      <c r="BZ66" s="50">
        <v>2003315.3079548299</v>
      </c>
      <c r="CA66" s="50">
        <v>2059531.6908143901</v>
      </c>
      <c r="CB66" s="50">
        <v>2117990.6416273899</v>
      </c>
      <c r="CC66" s="50">
        <v>2120448.9402840701</v>
      </c>
      <c r="CD66" s="50">
        <v>2154870.99586965</v>
      </c>
      <c r="CE66" s="50">
        <v>2163777.7615376599</v>
      </c>
      <c r="CF66" s="50">
        <v>2233950.6829843302</v>
      </c>
      <c r="CG66" s="50">
        <v>2385842.76241821</v>
      </c>
      <c r="CH66" s="50">
        <v>2342179.4929323699</v>
      </c>
      <c r="CI66" s="50">
        <v>2360409.1305291401</v>
      </c>
      <c r="CJ66" s="50">
        <v>2403491.7987390901</v>
      </c>
      <c r="CK66" s="50">
        <v>2414009.0571143902</v>
      </c>
      <c r="CL66" s="50">
        <v>2445731.0676027699</v>
      </c>
      <c r="CM66" s="50">
        <v>2500218.0406948202</v>
      </c>
      <c r="CN66" s="50">
        <v>2502547.3783673402</v>
      </c>
      <c r="CO66" s="50">
        <v>2503218.2447240502</v>
      </c>
      <c r="CP66" s="50">
        <v>2523448.2914075102</v>
      </c>
      <c r="CQ66" s="50">
        <v>2559236.8106623502</v>
      </c>
      <c r="CR66" s="50">
        <v>2596575.5776519501</v>
      </c>
      <c r="CS66" s="50">
        <v>2721247.2556431801</v>
      </c>
      <c r="CT66" s="50">
        <v>2675821.0586828701</v>
      </c>
      <c r="CU66" s="50">
        <v>2735480.2266010302</v>
      </c>
      <c r="CV66" s="50">
        <v>2714630.96336701</v>
      </c>
      <c r="CW66" s="50">
        <v>2779159.9262476601</v>
      </c>
      <c r="CX66" s="50">
        <v>2792625.1401345101</v>
      </c>
      <c r="CY66" s="50">
        <v>2805992.2279750798</v>
      </c>
      <c r="CZ66" s="50">
        <v>2801536.6805563099</v>
      </c>
      <c r="DA66" s="50">
        <v>2835022.9099878599</v>
      </c>
      <c r="DB66" s="50">
        <v>2882266.2436635899</v>
      </c>
      <c r="DC66" s="50">
        <v>2948005.1235696999</v>
      </c>
      <c r="DD66" s="50">
        <v>3018447.6624238798</v>
      </c>
      <c r="DE66" s="50">
        <v>3090336.0605736002</v>
      </c>
      <c r="DF66" s="50">
        <v>3041550.2278350899</v>
      </c>
      <c r="DG66" s="50">
        <v>3060514.8494261899</v>
      </c>
    </row>
    <row r="67" spans="1:111" s="55" customFormat="1" x14ac:dyDescent="0.3">
      <c r="A67" s="132" t="s">
        <v>26</v>
      </c>
      <c r="B67" s="80">
        <f>B26+B47+B56+B60+B51</f>
        <v>213806.23875532998</v>
      </c>
      <c r="C67" s="80">
        <f t="shared" ref="C67:I67" si="15">C26+C47+C56+C60+C51</f>
        <v>259892.25947085995</v>
      </c>
      <c r="D67" s="80">
        <f t="shared" si="15"/>
        <v>260814.44808941992</v>
      </c>
      <c r="E67" s="80">
        <f t="shared" si="15"/>
        <v>265279.5655636001</v>
      </c>
      <c r="F67" s="80">
        <f t="shared" si="15"/>
        <v>271638.90716170997</v>
      </c>
      <c r="G67" s="80">
        <f t="shared" si="15"/>
        <v>290220.76779536996</v>
      </c>
      <c r="H67" s="80">
        <f t="shared" si="15"/>
        <v>296059.5401505999</v>
      </c>
      <c r="I67" s="80">
        <f t="shared" si="15"/>
        <v>296041.88447364996</v>
      </c>
      <c r="J67" s="78">
        <v>298428.37590174994</v>
      </c>
      <c r="K67" s="78">
        <v>299413.22738892998</v>
      </c>
      <c r="L67" s="78">
        <v>297536.23493653</v>
      </c>
      <c r="M67" s="77">
        <v>308004.79973173002</v>
      </c>
      <c r="N67" s="77">
        <v>316902.70073385001</v>
      </c>
      <c r="O67" s="77">
        <v>318524.29383689997</v>
      </c>
      <c r="P67" s="77">
        <v>319480.61193557997</v>
      </c>
      <c r="Q67" s="77">
        <v>321623.34601315</v>
      </c>
      <c r="R67" s="77">
        <v>322599.99252766999</v>
      </c>
      <c r="S67" s="77">
        <v>321651.11720972002</v>
      </c>
      <c r="T67" s="77">
        <v>319369.35105865001</v>
      </c>
      <c r="U67" s="77">
        <v>320980.7729327</v>
      </c>
      <c r="V67" s="77">
        <v>321561.63687458</v>
      </c>
      <c r="W67" s="77">
        <v>329706.25519172999</v>
      </c>
      <c r="X67" s="77">
        <v>321390.42838474998</v>
      </c>
      <c r="Y67" s="77">
        <v>318203.64855997002</v>
      </c>
      <c r="Z67" s="77">
        <v>314077.90033219999</v>
      </c>
      <c r="AA67" s="77">
        <v>311130.87429135002</v>
      </c>
      <c r="AB67" s="77">
        <v>311541.10091116</v>
      </c>
      <c r="AC67" s="77">
        <v>311115.43445955002</v>
      </c>
      <c r="AD67" s="77">
        <v>301918.47968026</v>
      </c>
      <c r="AE67" s="77">
        <v>304074.36550036003</v>
      </c>
      <c r="AF67" s="77">
        <v>304817.92902068002</v>
      </c>
      <c r="AG67" s="77">
        <v>300240.29034617002</v>
      </c>
      <c r="AH67" s="77">
        <v>300855.38215711998</v>
      </c>
      <c r="AI67" s="77">
        <v>301973.77339073998</v>
      </c>
      <c r="AJ67" s="77">
        <v>303034.22711848002</v>
      </c>
      <c r="AK67" s="77">
        <v>295377.13844958</v>
      </c>
      <c r="AL67" s="77">
        <v>295794.14229817002</v>
      </c>
      <c r="AM67" s="77">
        <v>295048.05249332002</v>
      </c>
      <c r="AN67" s="77">
        <v>294260.36740911001</v>
      </c>
      <c r="AO67" s="77">
        <v>292728.99525663001</v>
      </c>
      <c r="AP67" s="77">
        <v>291294.04755323002</v>
      </c>
      <c r="AQ67" s="77">
        <v>291718.77761178999</v>
      </c>
      <c r="AR67" s="77">
        <v>292855.76345082</v>
      </c>
      <c r="AS67" s="77">
        <v>294356.87312621</v>
      </c>
      <c r="AT67" s="77">
        <v>287706.48947867</v>
      </c>
      <c r="AU67" s="77">
        <v>269954.14676249999</v>
      </c>
      <c r="AV67" s="77">
        <v>271895.88105679001</v>
      </c>
      <c r="AW67" s="77">
        <v>262899.21733352001</v>
      </c>
      <c r="AX67" s="77">
        <v>264333.35821740999</v>
      </c>
      <c r="AY67" s="77">
        <v>263279.96605022001</v>
      </c>
      <c r="AZ67" s="77">
        <v>260142.46972955001</v>
      </c>
      <c r="BA67" s="77">
        <v>261538.89041001</v>
      </c>
      <c r="BB67" s="77">
        <v>257562.02477424999</v>
      </c>
      <c r="BC67" s="77">
        <v>261019.40240391999</v>
      </c>
      <c r="BD67" s="77">
        <v>258394.48831650001</v>
      </c>
      <c r="BE67" s="77">
        <v>258624.78939965999</v>
      </c>
      <c r="BF67" s="77">
        <v>256037.49832370001</v>
      </c>
      <c r="BG67" s="77">
        <v>255750.68910402001</v>
      </c>
      <c r="BH67" s="77">
        <v>252896.07265622</v>
      </c>
      <c r="BI67" s="77">
        <v>242843.23294958001</v>
      </c>
      <c r="BJ67" s="77">
        <v>243787.30485078</v>
      </c>
      <c r="BK67" s="77">
        <v>238556.13738380003</v>
      </c>
      <c r="BL67" s="77">
        <v>240126.12785707001</v>
      </c>
      <c r="BM67" s="77">
        <v>241137.67786795</v>
      </c>
      <c r="BN67" s="77">
        <v>245813.86395639001</v>
      </c>
      <c r="BO67" s="77">
        <v>263373.46005605999</v>
      </c>
      <c r="BP67" s="77">
        <v>268197.85627893999</v>
      </c>
      <c r="BQ67" s="77">
        <v>271453.11899689003</v>
      </c>
      <c r="BR67" s="77">
        <v>296703.66801523999</v>
      </c>
      <c r="BS67" s="77">
        <v>303816.4253143</v>
      </c>
      <c r="BT67" s="77">
        <v>311196.49416712002</v>
      </c>
      <c r="BU67" s="77">
        <v>317804.47011835</v>
      </c>
      <c r="BV67" s="77">
        <v>322853.15147356002</v>
      </c>
      <c r="BW67" s="77">
        <v>321127.11901487003</v>
      </c>
      <c r="BX67" s="77">
        <v>319331.3505226</v>
      </c>
      <c r="BY67" s="77">
        <v>317916.89898683003</v>
      </c>
      <c r="BZ67" s="77">
        <v>315714.96946598002</v>
      </c>
      <c r="CA67" s="77">
        <v>313593.27196422999</v>
      </c>
      <c r="CB67" s="77">
        <v>314971.04056306998</v>
      </c>
      <c r="CC67" s="77">
        <v>308683.38449298003</v>
      </c>
      <c r="CD67" s="77">
        <v>305354.64470807998</v>
      </c>
      <c r="CE67" s="77">
        <v>306993.36326806998</v>
      </c>
      <c r="CF67" s="77">
        <v>306663.79022988002</v>
      </c>
      <c r="CG67" s="77">
        <v>301652.26778922998</v>
      </c>
      <c r="CH67" s="77">
        <v>299761.60499230999</v>
      </c>
      <c r="CI67" s="77">
        <v>298620.95999192999</v>
      </c>
      <c r="CJ67" s="77">
        <v>298574.13731183001</v>
      </c>
      <c r="CK67" s="77">
        <v>296825.80600788997</v>
      </c>
      <c r="CL67" s="77">
        <v>295331.30056726001</v>
      </c>
      <c r="CM67" s="77">
        <v>293463.72044007998</v>
      </c>
      <c r="CN67" s="77">
        <v>291574.72554468003</v>
      </c>
      <c r="CO67" s="77">
        <v>290830.00087555998</v>
      </c>
      <c r="CP67" s="77">
        <v>289489.16067755001</v>
      </c>
      <c r="CQ67" s="77">
        <v>289511.11386921001</v>
      </c>
      <c r="CR67" s="77">
        <v>289053.45068205002</v>
      </c>
      <c r="CS67" s="77">
        <v>273661.87246962002</v>
      </c>
      <c r="CT67" s="77">
        <v>277098.42913457</v>
      </c>
      <c r="CU67" s="77">
        <v>275364.00357325003</v>
      </c>
      <c r="CV67" s="77">
        <v>271800.67763931002</v>
      </c>
      <c r="CW67" s="77">
        <v>271796.81408500002</v>
      </c>
      <c r="CX67" s="77">
        <v>271450.86855602002</v>
      </c>
      <c r="CY67" s="77">
        <v>271336.64248753001</v>
      </c>
      <c r="CZ67" s="77">
        <v>264731.05536245002</v>
      </c>
      <c r="DA67" s="77">
        <v>263801.00931626</v>
      </c>
      <c r="DB67" s="77">
        <v>261522.67894695001</v>
      </c>
      <c r="DC67" s="77">
        <v>264085.59015408001</v>
      </c>
      <c r="DD67" s="77">
        <v>261973.72303738</v>
      </c>
      <c r="DE67" s="77">
        <v>103824.22927185999</v>
      </c>
      <c r="DF67" s="77">
        <v>107448.95877661</v>
      </c>
      <c r="DG67" s="77">
        <v>100817.74683898001</v>
      </c>
    </row>
    <row r="68" spans="1:111" s="90" customFormat="1" x14ac:dyDescent="0.3">
      <c r="A68" s="145" t="s">
        <v>27</v>
      </c>
      <c r="B68" s="146">
        <f t="shared" ref="B68:I68" si="16">IFERROR(100*(B67/B66),0)</f>
        <v>28.043826333697169</v>
      </c>
      <c r="C68" s="146">
        <f t="shared" si="16"/>
        <v>26.081306170441387</v>
      </c>
      <c r="D68" s="146">
        <f t="shared" si="16"/>
        <v>25.610056256553271</v>
      </c>
      <c r="E68" s="146">
        <f t="shared" si="16"/>
        <v>26.427588624961068</v>
      </c>
      <c r="F68" s="146">
        <f t="shared" si="16"/>
        <v>26.646244447852997</v>
      </c>
      <c r="G68" s="146">
        <f t="shared" si="16"/>
        <v>28.34034048486906</v>
      </c>
      <c r="H68" s="146">
        <f t="shared" si="16"/>
        <v>28.118935012374845</v>
      </c>
      <c r="I68" s="146">
        <f t="shared" si="16"/>
        <v>28.349015322132757</v>
      </c>
      <c r="J68" s="149">
        <v>28.345445556317706</v>
      </c>
      <c r="K68" s="149">
        <v>28.270337813019299</v>
      </c>
      <c r="L68" s="149">
        <v>27.9406389334764</v>
      </c>
      <c r="M68" s="146">
        <v>27.587529214918899</v>
      </c>
      <c r="N68" s="149">
        <v>28.628015221184299</v>
      </c>
      <c r="O68" s="149">
        <v>28.6572725593144</v>
      </c>
      <c r="P68" s="149">
        <v>28.611520565485701</v>
      </c>
      <c r="Q68" s="149">
        <v>28.459795645175099</v>
      </c>
      <c r="R68" s="149">
        <v>28.413701736093198</v>
      </c>
      <c r="S68" s="149">
        <v>28.504669638415599</v>
      </c>
      <c r="T68" s="149">
        <v>28.105108468455501</v>
      </c>
      <c r="U68" s="149">
        <v>28.5043064631638</v>
      </c>
      <c r="V68" s="149">
        <v>28.2450144068215</v>
      </c>
      <c r="W68" s="149">
        <v>28.9477364009147</v>
      </c>
      <c r="X68" s="149">
        <v>28.594767367621898</v>
      </c>
      <c r="Y68" s="149">
        <v>27.606901800833199</v>
      </c>
      <c r="Z68" s="149">
        <v>27.175219334097001</v>
      </c>
      <c r="AA68" s="149">
        <v>26.8158129473121</v>
      </c>
      <c r="AB68" s="149">
        <v>26.809623634002001</v>
      </c>
      <c r="AC68" s="149">
        <v>26.602034050715201</v>
      </c>
      <c r="AD68" s="149">
        <v>26.371892126002599</v>
      </c>
      <c r="AE68" s="149">
        <v>26.309525068291499</v>
      </c>
      <c r="AF68" s="149">
        <v>26.5298693863785</v>
      </c>
      <c r="AG68" s="149">
        <v>25.947010561662101</v>
      </c>
      <c r="AH68" s="149">
        <v>25.719210362911699</v>
      </c>
      <c r="AI68" s="149">
        <v>25.641005383955001</v>
      </c>
      <c r="AJ68" s="149">
        <v>25.439287672397199</v>
      </c>
      <c r="AK68" s="149">
        <v>23.346166484334301</v>
      </c>
      <c r="AL68" s="149">
        <v>23.255397020142102</v>
      </c>
      <c r="AM68" s="149">
        <v>22.956918721054699</v>
      </c>
      <c r="AN68" s="149">
        <v>23.719098015361102</v>
      </c>
      <c r="AO68" s="149">
        <v>23.045664799215601</v>
      </c>
      <c r="AP68" s="149">
        <v>22.309188135432301</v>
      </c>
      <c r="AQ68" s="149">
        <v>22.3773228219858</v>
      </c>
      <c r="AR68" s="149">
        <v>22.242401079476899</v>
      </c>
      <c r="AS68" s="149">
        <v>22.0710962361449</v>
      </c>
      <c r="AT68" s="149">
        <v>21.2441342187876</v>
      </c>
      <c r="AU68" s="149">
        <v>19.7130582081362</v>
      </c>
      <c r="AV68" s="149">
        <v>19.633790870643502</v>
      </c>
      <c r="AW68" s="149">
        <v>17.950937070814</v>
      </c>
      <c r="AX68" s="149">
        <v>18.061902954433801</v>
      </c>
      <c r="AY68" s="149">
        <v>17.833836132117401</v>
      </c>
      <c r="AZ68" s="149">
        <v>17.645605754612198</v>
      </c>
      <c r="BA68" s="149">
        <v>17.490579534852898</v>
      </c>
      <c r="BB68" s="149">
        <v>17.030930434325001</v>
      </c>
      <c r="BC68" s="149">
        <v>17.056888791986701</v>
      </c>
      <c r="BD68" s="149">
        <v>16.7201525807114</v>
      </c>
      <c r="BE68" s="149">
        <v>16.906993714635998</v>
      </c>
      <c r="BF68" s="149">
        <v>16.419489232737501</v>
      </c>
      <c r="BG68" s="149">
        <v>16.098442805387201</v>
      </c>
      <c r="BH68" s="149">
        <v>15.8173241986453</v>
      </c>
      <c r="BI68" s="149">
        <v>14.458721038015399</v>
      </c>
      <c r="BJ68" s="149">
        <v>14.928258809397001</v>
      </c>
      <c r="BK68" s="149">
        <v>14.80877288483377</v>
      </c>
      <c r="BL68" s="149">
        <v>14.6837844340053</v>
      </c>
      <c r="BM68" s="149">
        <v>14.4002406002644</v>
      </c>
      <c r="BN68" s="149">
        <v>14.5994354005206</v>
      </c>
      <c r="BO68" s="149">
        <v>15.6134422450119</v>
      </c>
      <c r="BP68" s="149">
        <v>15.5439971663944</v>
      </c>
      <c r="BQ68" s="149">
        <v>15.621112894524501</v>
      </c>
      <c r="BR68" s="149">
        <v>17.062962546406101</v>
      </c>
      <c r="BS68" s="149">
        <v>17.101511747884299</v>
      </c>
      <c r="BT68" s="149">
        <v>17.291099678649299</v>
      </c>
      <c r="BU68" s="149">
        <v>16.748180069142698</v>
      </c>
      <c r="BV68" s="149">
        <v>17.202581744921599</v>
      </c>
      <c r="BW68" s="149">
        <v>16.861096862682299</v>
      </c>
      <c r="BX68" s="149">
        <v>16.5969605098446</v>
      </c>
      <c r="BY68" s="149">
        <v>15.9949565697995</v>
      </c>
      <c r="BZ68" s="149">
        <v>15.759624469115201</v>
      </c>
      <c r="CA68" s="149">
        <v>15.2264358622337</v>
      </c>
      <c r="CB68" s="149">
        <v>14.871219653787399</v>
      </c>
      <c r="CC68" s="149">
        <v>14.5574542554949</v>
      </c>
      <c r="CD68" s="149">
        <v>14.1704373623</v>
      </c>
      <c r="CE68" s="149">
        <v>14.187841687119899</v>
      </c>
      <c r="CF68" s="149">
        <v>13.727419882887</v>
      </c>
      <c r="CG68" s="149">
        <v>12.643426152840201</v>
      </c>
      <c r="CH68" s="149">
        <v>12.798404473135101</v>
      </c>
      <c r="CI68" s="149">
        <v>12.6512372846561</v>
      </c>
      <c r="CJ68" s="149">
        <v>12.422515336581</v>
      </c>
      <c r="CK68" s="149">
        <v>12.2959690284967</v>
      </c>
      <c r="CL68" s="149">
        <v>12.0753791976292</v>
      </c>
      <c r="CM68" s="149">
        <v>11.7375251143506</v>
      </c>
      <c r="CN68" s="147">
        <v>11.6511171003245</v>
      </c>
      <c r="CO68" s="147">
        <v>11.618243894176301</v>
      </c>
      <c r="CP68" s="147">
        <v>11.471967214992199</v>
      </c>
      <c r="CQ68" s="147">
        <v>11.312400347753799</v>
      </c>
      <c r="CR68" s="147">
        <v>11.1321023416325</v>
      </c>
      <c r="CS68" s="147">
        <v>10.056486851832901</v>
      </c>
      <c r="CT68" s="147">
        <v>10.355641242728201</v>
      </c>
      <c r="CU68" s="147">
        <v>10.066386183145701</v>
      </c>
      <c r="CV68" s="147">
        <v>10.012435624111101</v>
      </c>
      <c r="CW68" s="147">
        <v>9.7798191287239806</v>
      </c>
      <c r="CX68" s="147">
        <v>9.7202759029428893</v>
      </c>
      <c r="CY68" s="147">
        <v>9.6699000012319303</v>
      </c>
      <c r="CZ68" s="147">
        <v>9.4494945291910906</v>
      </c>
      <c r="DA68" s="147">
        <v>9.3050750449628499</v>
      </c>
      <c r="DB68" s="147">
        <v>9.0735087198097908</v>
      </c>
      <c r="DC68" s="147">
        <v>8.9581116410782293</v>
      </c>
      <c r="DD68" s="147">
        <v>8.6790878072409399</v>
      </c>
      <c r="DE68" s="147">
        <v>3.3596420336430701</v>
      </c>
      <c r="DF68" s="147">
        <v>3.5327037440736202</v>
      </c>
      <c r="DG68" s="147">
        <v>3.2941433647310099</v>
      </c>
    </row>
    <row r="69" spans="1:111" x14ac:dyDescent="0.3">
      <c r="A69" s="138"/>
      <c r="B69" s="122"/>
      <c r="C69" s="122"/>
      <c r="D69" s="122"/>
      <c r="E69" s="122"/>
      <c r="F69" s="122"/>
      <c r="G69" s="122"/>
      <c r="H69" s="122"/>
      <c r="I69" s="122"/>
      <c r="J69" s="2"/>
      <c r="K69" s="2"/>
      <c r="L69" s="2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30"/>
    </row>
    <row r="70" spans="1:111" x14ac:dyDescent="0.3">
      <c r="A70" s="139" t="s">
        <v>36</v>
      </c>
      <c r="B70" s="105"/>
      <c r="C70" s="105"/>
      <c r="D70" s="105"/>
      <c r="E70" s="105"/>
      <c r="F70" s="105"/>
      <c r="G70" s="105"/>
      <c r="H70" s="105"/>
      <c r="I70" s="105"/>
      <c r="J70" s="21"/>
      <c r="K70" s="21"/>
      <c r="L70" s="21"/>
      <c r="M70" s="163"/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  <c r="AF70" s="165"/>
      <c r="AG70" s="165"/>
      <c r="AH70" s="165"/>
      <c r="AI70" s="165"/>
      <c r="AJ70" s="165"/>
      <c r="AK70" s="165"/>
      <c r="AL70" s="165"/>
      <c r="AM70" s="165"/>
      <c r="AN70" s="165"/>
      <c r="AO70" s="165"/>
      <c r="AP70" s="165"/>
      <c r="AQ70" s="165"/>
      <c r="AR70" s="165"/>
      <c r="AS70" s="165"/>
      <c r="AT70" s="165"/>
      <c r="AU70" s="165"/>
      <c r="AV70" s="165"/>
      <c r="AW70" s="165"/>
      <c r="AX70" s="165"/>
      <c r="AY70" s="165"/>
      <c r="AZ70" s="165"/>
      <c r="BA70" s="165"/>
      <c r="BB70" s="165"/>
      <c r="BC70" s="165"/>
      <c r="BD70" s="165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165"/>
      <c r="BV70" s="165"/>
      <c r="BW70" s="165"/>
      <c r="BX70" s="165"/>
      <c r="BY70" s="165"/>
      <c r="BZ70" s="165"/>
      <c r="CA70" s="165"/>
      <c r="CB70" s="165"/>
      <c r="CC70" s="165"/>
      <c r="CD70" s="165"/>
      <c r="CE70" s="165"/>
      <c r="CF70" s="165"/>
      <c r="CG70" s="165"/>
      <c r="CH70" s="165"/>
      <c r="CI70" s="165"/>
      <c r="CJ70" s="165"/>
      <c r="CK70" s="165"/>
      <c r="CL70" s="165"/>
      <c r="CM70" s="165"/>
      <c r="CN70" s="166"/>
      <c r="CO70" s="166"/>
      <c r="CP70" s="166"/>
      <c r="CQ70" s="166"/>
      <c r="CR70" s="166"/>
      <c r="CS70" s="166"/>
      <c r="CT70" s="166"/>
      <c r="CU70" s="166"/>
      <c r="CV70" s="166"/>
      <c r="CW70" s="166"/>
      <c r="CX70" s="166"/>
      <c r="CY70" s="166"/>
      <c r="CZ70" s="166"/>
      <c r="DA70" s="166"/>
      <c r="DB70" s="166"/>
      <c r="DC70" s="166"/>
      <c r="DD70" s="166"/>
      <c r="DE70" s="166"/>
      <c r="DF70" s="166"/>
      <c r="DG70" s="166"/>
    </row>
    <row r="71" spans="1:111" s="30" customFormat="1" ht="28.8" x14ac:dyDescent="0.3">
      <c r="A71" s="140" t="s">
        <v>37</v>
      </c>
      <c r="B71" s="106">
        <v>64764.83971693003</v>
      </c>
      <c r="C71" s="106">
        <v>98596.748423539961</v>
      </c>
      <c r="D71" s="106">
        <v>178005.07586116</v>
      </c>
      <c r="E71" s="106">
        <v>180852.46263147998</v>
      </c>
      <c r="F71" s="106">
        <v>187133.97441341006</v>
      </c>
      <c r="G71" s="106">
        <v>185979.28455818989</v>
      </c>
      <c r="H71" s="106">
        <v>186538.10527000987</v>
      </c>
      <c r="I71" s="106">
        <v>185930.44934118001</v>
      </c>
      <c r="J71" s="106">
        <v>186006.52073438009</v>
      </c>
      <c r="K71" s="106">
        <v>186293.94061608001</v>
      </c>
      <c r="L71" s="106">
        <v>146331.00563348999</v>
      </c>
      <c r="M71" s="106">
        <v>164916.12785066001</v>
      </c>
      <c r="N71" s="106">
        <v>172642.36936426</v>
      </c>
      <c r="O71" s="106">
        <v>169287.14999815999</v>
      </c>
      <c r="P71" s="106">
        <v>170329.75361849001</v>
      </c>
      <c r="Q71" s="106">
        <v>186551.92958530001</v>
      </c>
      <c r="R71" s="106">
        <v>190623.48929562001</v>
      </c>
      <c r="S71" s="106">
        <v>193130.04626708999</v>
      </c>
      <c r="T71" s="106">
        <v>193376.03127983</v>
      </c>
      <c r="U71" s="106">
        <v>199012.85043652001</v>
      </c>
      <c r="V71" s="106">
        <v>203283.16678339001</v>
      </c>
      <c r="W71" s="106">
        <v>203590.50399813999</v>
      </c>
      <c r="X71" s="106">
        <v>204813.66442233999</v>
      </c>
      <c r="Y71" s="106">
        <v>209576.03259583999</v>
      </c>
      <c r="Z71" s="106">
        <v>214505.85679727999</v>
      </c>
      <c r="AA71" s="106">
        <v>217833.66792462999</v>
      </c>
      <c r="AB71" s="106">
        <v>224658.27645454</v>
      </c>
      <c r="AC71" s="106">
        <v>224964.24151836999</v>
      </c>
      <c r="AD71" s="106">
        <v>227398.28749461001</v>
      </c>
      <c r="AE71" s="106">
        <v>229040.69058587999</v>
      </c>
      <c r="AF71" s="106">
        <v>237482.06179606001</v>
      </c>
      <c r="AG71" s="106">
        <v>239995.78551275999</v>
      </c>
      <c r="AH71" s="106">
        <v>248185.79102346001</v>
      </c>
      <c r="AI71" s="106">
        <v>254219.32084772</v>
      </c>
      <c r="AJ71" s="106">
        <v>269050.55782813998</v>
      </c>
      <c r="AK71" s="106">
        <v>281990.91668825003</v>
      </c>
      <c r="AL71" s="106">
        <v>295451.14430098003</v>
      </c>
      <c r="AM71" s="106">
        <v>307323.78430964</v>
      </c>
      <c r="AN71" s="106">
        <v>289639.46231114003</v>
      </c>
      <c r="AO71" s="106">
        <v>293567.45286005002</v>
      </c>
      <c r="AP71" s="106">
        <v>290984.73137290002</v>
      </c>
      <c r="AQ71" s="106">
        <v>296556.4486994</v>
      </c>
      <c r="AR71" s="106">
        <v>307409.46622885001</v>
      </c>
      <c r="AS71" s="106">
        <v>316766.98823307001</v>
      </c>
      <c r="AT71" s="106">
        <v>319386.13589178002</v>
      </c>
      <c r="AU71" s="106">
        <v>326223.03050994</v>
      </c>
      <c r="AV71" s="106">
        <v>341041.55716559</v>
      </c>
      <c r="AW71" s="106">
        <v>369109.65072932001</v>
      </c>
      <c r="AX71" s="106">
        <v>373666.38741800998</v>
      </c>
      <c r="AY71" s="106">
        <v>378896.29797915998</v>
      </c>
      <c r="AZ71" s="106">
        <v>393144.82873334998</v>
      </c>
      <c r="BA71" s="106">
        <v>411028.69907526002</v>
      </c>
      <c r="BB71" s="106">
        <v>414921.43881601997</v>
      </c>
      <c r="BC71" s="106">
        <v>429978.58148956002</v>
      </c>
      <c r="BD71" s="106">
        <v>446069.61145361001</v>
      </c>
      <c r="BE71" s="106">
        <v>453361.70085904998</v>
      </c>
      <c r="BF71" s="106">
        <v>466495.01983985998</v>
      </c>
      <c r="BG71" s="106">
        <v>477354.71399582003</v>
      </c>
      <c r="BH71" s="106">
        <v>489238.24087351002</v>
      </c>
      <c r="BI71" s="106">
        <v>537187.78295640997</v>
      </c>
      <c r="BJ71" s="106">
        <v>543837.94327905006</v>
      </c>
      <c r="BK71" s="106">
        <v>459516.4360182602</v>
      </c>
      <c r="BL71" s="106">
        <v>413180.54956387001</v>
      </c>
      <c r="BM71" s="106">
        <v>414489.99420889001</v>
      </c>
      <c r="BN71" s="106">
        <v>409068.27796391997</v>
      </c>
      <c r="BO71" s="106">
        <v>413633.45689521002</v>
      </c>
      <c r="BP71" s="106">
        <v>407591.00401034998</v>
      </c>
      <c r="BQ71" s="106">
        <v>408056.75147418003</v>
      </c>
      <c r="BR71" s="106">
        <v>411932.68320907</v>
      </c>
      <c r="BS71" s="106">
        <v>411634.80452275998</v>
      </c>
      <c r="BT71" s="106">
        <v>413012.16467381001</v>
      </c>
      <c r="BU71" s="106">
        <v>431355.40250083001</v>
      </c>
      <c r="BV71" s="106">
        <v>438336.81513842999</v>
      </c>
      <c r="BW71" s="106">
        <v>441041.45795830002</v>
      </c>
      <c r="BX71" s="106">
        <v>446147.64620402001</v>
      </c>
      <c r="BY71" s="106">
        <v>457972.27526063001</v>
      </c>
      <c r="BZ71" s="106">
        <v>482296.27142260002</v>
      </c>
      <c r="CA71" s="106">
        <v>503267.75296057999</v>
      </c>
      <c r="CB71" s="106">
        <v>516301.57204671</v>
      </c>
      <c r="CC71" s="106">
        <v>522266.41532064998</v>
      </c>
      <c r="CD71" s="106">
        <v>527529.51323758997</v>
      </c>
      <c r="CE71" s="106">
        <v>548911.59771766001</v>
      </c>
      <c r="CF71" s="106">
        <v>585772.47612029</v>
      </c>
      <c r="CG71" s="106">
        <v>613427.73111135</v>
      </c>
      <c r="CH71" s="106">
        <v>624131.93328230001</v>
      </c>
      <c r="CI71" s="106">
        <v>631515.30245388998</v>
      </c>
      <c r="CJ71" s="106">
        <v>634774.50839253003</v>
      </c>
      <c r="CK71" s="106">
        <v>633596.07353955996</v>
      </c>
      <c r="CL71" s="106">
        <v>643134.23741256003</v>
      </c>
      <c r="CM71" s="106">
        <v>643767.59919192002</v>
      </c>
      <c r="CN71" s="106">
        <v>649833.33700361999</v>
      </c>
      <c r="CO71" s="106">
        <v>656123.29131765</v>
      </c>
      <c r="CP71" s="106">
        <v>665411.10927830997</v>
      </c>
      <c r="CQ71" s="106">
        <v>681702.98174518999</v>
      </c>
      <c r="CR71" s="106">
        <v>694573.92048931995</v>
      </c>
      <c r="CS71" s="106">
        <v>715378.14903759002</v>
      </c>
      <c r="CT71" s="106">
        <v>728773.53500481998</v>
      </c>
      <c r="CU71" s="106">
        <v>734420.69919672003</v>
      </c>
      <c r="CV71" s="106">
        <v>739037.04838662001</v>
      </c>
      <c r="CW71" s="106">
        <v>747376.92062122002</v>
      </c>
      <c r="CX71" s="106">
        <v>767929.95121800003</v>
      </c>
      <c r="CY71" s="106">
        <v>782388.85856186005</v>
      </c>
      <c r="CZ71" s="106">
        <v>792361.11340002995</v>
      </c>
      <c r="DA71" s="106">
        <v>786032.29418246995</v>
      </c>
      <c r="DB71" s="106">
        <v>791778.61914852995</v>
      </c>
      <c r="DC71" s="106">
        <v>795155.52512792998</v>
      </c>
      <c r="DD71" s="106">
        <v>830993.32648199995</v>
      </c>
      <c r="DE71" s="106">
        <v>860551.66041348001</v>
      </c>
      <c r="DF71" s="106">
        <v>871886.56400708004</v>
      </c>
      <c r="DG71" s="106">
        <v>873237.48831586004</v>
      </c>
    </row>
    <row r="72" spans="1:111" s="30" customFormat="1" ht="28.8" x14ac:dyDescent="0.3">
      <c r="A72" s="141" t="s">
        <v>38</v>
      </c>
      <c r="B72" s="27">
        <v>31390.036838040036</v>
      </c>
      <c r="C72" s="27">
        <v>14176.413581789991</v>
      </c>
      <c r="D72" s="27">
        <v>23637.810783210014</v>
      </c>
      <c r="E72" s="27">
        <v>25305.163963319996</v>
      </c>
      <c r="F72" s="27">
        <v>21733.234709850003</v>
      </c>
      <c r="G72" s="27">
        <v>25985.771959989997</v>
      </c>
      <c r="H72" s="27">
        <v>25002.047102</v>
      </c>
      <c r="I72" s="27">
        <v>28926.932127250009</v>
      </c>
      <c r="J72" s="27">
        <v>30609.287379139994</v>
      </c>
      <c r="K72" s="27">
        <v>33293.40586952</v>
      </c>
      <c r="L72" s="27">
        <v>28565.73112855</v>
      </c>
      <c r="M72" s="27">
        <v>27370.951635369998</v>
      </c>
      <c r="N72" s="28">
        <v>27944.15481552</v>
      </c>
      <c r="O72" s="28">
        <v>39418.321934660104</v>
      </c>
      <c r="P72" s="27">
        <v>40238.358113169998</v>
      </c>
      <c r="Q72" s="27">
        <v>30704.664406470099</v>
      </c>
      <c r="R72" s="27">
        <v>32610.201139230001</v>
      </c>
      <c r="S72" s="27">
        <v>34081.4122168701</v>
      </c>
      <c r="T72" s="27">
        <v>36033.459499260003</v>
      </c>
      <c r="U72" s="27">
        <v>36639.594976690001</v>
      </c>
      <c r="V72" s="27">
        <v>38107.478969969998</v>
      </c>
      <c r="W72" s="27">
        <v>35099.23098583</v>
      </c>
      <c r="X72" s="27">
        <v>33890.509952799999</v>
      </c>
      <c r="Y72" s="27">
        <v>34283.172272030002</v>
      </c>
      <c r="Z72" s="27">
        <v>34605.882098009999</v>
      </c>
      <c r="AA72" s="27">
        <v>34596.228133720098</v>
      </c>
      <c r="AB72" s="27">
        <v>34462.345761980003</v>
      </c>
      <c r="AC72" s="27">
        <v>36994.614355470003</v>
      </c>
      <c r="AD72" s="27">
        <v>36467.899641880002</v>
      </c>
      <c r="AE72" s="27">
        <v>40570.044001150003</v>
      </c>
      <c r="AF72" s="27">
        <v>44417.120504960003</v>
      </c>
      <c r="AG72" s="27">
        <v>45589.669922189998</v>
      </c>
      <c r="AH72" s="27">
        <v>44353.054599180003</v>
      </c>
      <c r="AI72" s="27">
        <v>42393.002400520098</v>
      </c>
      <c r="AJ72" s="27">
        <v>41547.971530060102</v>
      </c>
      <c r="AK72" s="27">
        <v>37720.25864416</v>
      </c>
      <c r="AL72" s="27">
        <v>41932.113204469999</v>
      </c>
      <c r="AM72" s="27">
        <v>43970.649085819998</v>
      </c>
      <c r="AN72" s="27">
        <v>49208.097337359999</v>
      </c>
      <c r="AO72" s="27">
        <v>49954.231809719997</v>
      </c>
      <c r="AP72" s="27">
        <v>51114.4455685801</v>
      </c>
      <c r="AQ72" s="27">
        <v>57053.021224939999</v>
      </c>
      <c r="AR72" s="27">
        <v>64270.9082863</v>
      </c>
      <c r="AS72" s="27">
        <v>71661.069334879998</v>
      </c>
      <c r="AT72" s="27">
        <v>73094.487897929997</v>
      </c>
      <c r="AU72" s="27">
        <v>78596.662977019994</v>
      </c>
      <c r="AV72" s="27">
        <v>81901.333059669996</v>
      </c>
      <c r="AW72" s="27">
        <v>82026.321842160003</v>
      </c>
      <c r="AX72" s="27">
        <v>81220.124113399899</v>
      </c>
      <c r="AY72" s="27">
        <v>80604.500944150001</v>
      </c>
      <c r="AZ72" s="27">
        <v>86104.592600909906</v>
      </c>
      <c r="BA72" s="27">
        <v>90298.517474790104</v>
      </c>
      <c r="BB72" s="27">
        <v>91037.089217150104</v>
      </c>
      <c r="BC72" s="27">
        <v>86486.535368539902</v>
      </c>
      <c r="BD72" s="27">
        <v>92977.508884140101</v>
      </c>
      <c r="BE72" s="27">
        <v>102137.72228224001</v>
      </c>
      <c r="BF72" s="27">
        <v>106390.17580287</v>
      </c>
      <c r="BG72" s="27">
        <v>99889.014938900102</v>
      </c>
      <c r="BH72" s="27">
        <v>114857.96305588</v>
      </c>
      <c r="BI72" s="27">
        <v>102524.83434822</v>
      </c>
      <c r="BJ72" s="27">
        <v>114253.69607373</v>
      </c>
      <c r="BK72" s="27">
        <v>98177.064499230008</v>
      </c>
      <c r="BL72" s="27">
        <v>93127.075153330094</v>
      </c>
      <c r="BM72" s="27">
        <v>85262.809701980004</v>
      </c>
      <c r="BN72" s="27">
        <v>85508.047309720001</v>
      </c>
      <c r="BO72" s="27">
        <v>80613.598220290005</v>
      </c>
      <c r="BP72" s="27">
        <v>72705.869519749904</v>
      </c>
      <c r="BQ72" s="27">
        <v>81013.184193330002</v>
      </c>
      <c r="BR72" s="27">
        <v>83621.221980859904</v>
      </c>
      <c r="BS72" s="27">
        <v>72523.1700518</v>
      </c>
      <c r="BT72" s="27">
        <v>73815.195856620005</v>
      </c>
      <c r="BU72" s="27">
        <v>79717.110221840005</v>
      </c>
      <c r="BV72" s="27">
        <v>82199.019832120001</v>
      </c>
      <c r="BW72" s="27">
        <v>88970.94938202</v>
      </c>
      <c r="BX72" s="27">
        <v>79109.384715109903</v>
      </c>
      <c r="BY72" s="27">
        <v>73027.648005120005</v>
      </c>
      <c r="BZ72" s="27">
        <v>73737.204783980007</v>
      </c>
      <c r="CA72" s="27">
        <v>71978.966932610099</v>
      </c>
      <c r="CB72" s="27">
        <v>71566.6285926001</v>
      </c>
      <c r="CC72" s="27">
        <v>64855.590865819999</v>
      </c>
      <c r="CD72" s="27">
        <v>71164.35751211</v>
      </c>
      <c r="CE72" s="27">
        <v>77085.976533570094</v>
      </c>
      <c r="CF72" s="27">
        <v>77147.612841370006</v>
      </c>
      <c r="CG72" s="27">
        <v>80952.356400389894</v>
      </c>
      <c r="CH72" s="27">
        <v>69792.800352080099</v>
      </c>
      <c r="CI72" s="27">
        <v>77328.387319219997</v>
      </c>
      <c r="CJ72" s="27">
        <v>80404.367877099896</v>
      </c>
      <c r="CK72" s="27">
        <v>84317.272828910005</v>
      </c>
      <c r="CL72" s="27">
        <v>85740.004450319902</v>
      </c>
      <c r="CM72" s="27">
        <v>90392.256868459997</v>
      </c>
      <c r="CN72" s="27">
        <v>95812.590611199994</v>
      </c>
      <c r="CO72" s="27">
        <v>96577.204631499902</v>
      </c>
      <c r="CP72" s="27">
        <v>101855.13158202999</v>
      </c>
      <c r="CQ72" s="27">
        <v>102966.37384211</v>
      </c>
      <c r="CR72" s="27">
        <v>100804.25974163</v>
      </c>
      <c r="CS72" s="27">
        <v>110597.85886521</v>
      </c>
      <c r="CT72" s="27">
        <v>102713.23451918</v>
      </c>
      <c r="CU72" s="27">
        <v>87374.06694741</v>
      </c>
      <c r="CV72" s="27">
        <v>89192.695736320107</v>
      </c>
      <c r="CW72" s="27">
        <v>88342.805371900002</v>
      </c>
      <c r="CX72" s="27">
        <v>92964.984408110002</v>
      </c>
      <c r="CY72" s="27">
        <v>97124.043518860097</v>
      </c>
      <c r="CZ72" s="27">
        <v>99667.688262630007</v>
      </c>
      <c r="DA72" s="27">
        <v>101791.65107866999</v>
      </c>
      <c r="DB72" s="27">
        <v>110373.69732252001</v>
      </c>
      <c r="DC72" s="27">
        <v>106969.42881714</v>
      </c>
      <c r="DD72" s="27">
        <v>115211.82723414</v>
      </c>
      <c r="DE72" s="27">
        <v>117182.75691190999</v>
      </c>
      <c r="DF72" s="27">
        <v>114103.34613298</v>
      </c>
      <c r="DG72" s="27">
        <v>116339.95549723</v>
      </c>
    </row>
    <row r="73" spans="1:111" s="30" customFormat="1" x14ac:dyDescent="0.3">
      <c r="A73" s="31" t="s">
        <v>26</v>
      </c>
      <c r="B73" s="27">
        <v>972.29151136000019</v>
      </c>
      <c r="C73" s="27">
        <v>733.62836231000017</v>
      </c>
      <c r="D73" s="27">
        <v>1507.8448315100006</v>
      </c>
      <c r="E73" s="27">
        <v>1789.68249722</v>
      </c>
      <c r="F73" s="27">
        <v>1764.4766801100006</v>
      </c>
      <c r="G73" s="27">
        <v>1826.2714874900003</v>
      </c>
      <c r="H73" s="27">
        <v>1831.9383438799996</v>
      </c>
      <c r="I73" s="27">
        <v>3399.3263081100004</v>
      </c>
      <c r="J73" s="27">
        <v>1782.4628630000002</v>
      </c>
      <c r="K73" s="27">
        <v>1776.6184128699999</v>
      </c>
      <c r="L73" s="27">
        <v>1589.8698472399999</v>
      </c>
      <c r="M73" s="29">
        <v>2088.54177364</v>
      </c>
      <c r="N73" s="28">
        <v>2825.1271860400002</v>
      </c>
      <c r="O73" s="29">
        <v>1143.85405603</v>
      </c>
      <c r="P73" s="29">
        <v>850.74273173999995</v>
      </c>
      <c r="Q73" s="118">
        <v>2171.5676122700002</v>
      </c>
      <c r="R73" s="118">
        <v>2129.80995708</v>
      </c>
      <c r="S73" s="118">
        <v>2237.0342976799998</v>
      </c>
      <c r="T73" s="118">
        <v>2040.8170006600001</v>
      </c>
      <c r="U73" s="118">
        <v>2027.87149791</v>
      </c>
      <c r="V73" s="118">
        <v>2064.4955329200002</v>
      </c>
      <c r="W73" s="118">
        <v>2019.1103665200001</v>
      </c>
      <c r="X73" s="118">
        <v>1953.80516966</v>
      </c>
      <c r="Y73" s="118">
        <v>2800.44567994</v>
      </c>
      <c r="Z73" s="118">
        <v>2829.52155662</v>
      </c>
      <c r="AA73" s="118">
        <v>2759.6714595100002</v>
      </c>
      <c r="AB73" s="118">
        <v>2878.2443951599998</v>
      </c>
      <c r="AC73" s="118">
        <v>2875.48010772</v>
      </c>
      <c r="AD73" s="118">
        <v>2962.1717599799999</v>
      </c>
      <c r="AE73" s="118">
        <v>2935.7054731600001</v>
      </c>
      <c r="AF73" s="118">
        <v>3045.49950429</v>
      </c>
      <c r="AG73" s="118">
        <v>3073.1939431800001</v>
      </c>
      <c r="AH73" s="118">
        <v>2957.9601651900002</v>
      </c>
      <c r="AI73" s="118">
        <v>3606.5174081</v>
      </c>
      <c r="AJ73" s="118">
        <v>2578.6670555400001</v>
      </c>
      <c r="AK73" s="118">
        <v>1874.9424608100001</v>
      </c>
      <c r="AL73" s="118">
        <v>1658.77361131</v>
      </c>
      <c r="AM73" s="118">
        <v>1661.8001462100001</v>
      </c>
      <c r="AN73" s="118">
        <v>1637.7053502900001</v>
      </c>
      <c r="AO73" s="118">
        <v>1574.98137092</v>
      </c>
      <c r="AP73" s="118">
        <v>1707.9558672799999</v>
      </c>
      <c r="AQ73" s="118">
        <v>1643.9553393900001</v>
      </c>
      <c r="AR73" s="118">
        <v>1568.2023612</v>
      </c>
      <c r="AS73" s="118">
        <v>1554.6535578600001</v>
      </c>
      <c r="AT73" s="118">
        <v>1433.5047470100001</v>
      </c>
      <c r="AU73" s="118">
        <v>1947.8886484499999</v>
      </c>
      <c r="AV73" s="118">
        <v>1516.68151865</v>
      </c>
      <c r="AW73" s="118">
        <v>1361.4889823599999</v>
      </c>
      <c r="AX73" s="118">
        <v>1355.1212570499999</v>
      </c>
      <c r="AY73" s="118">
        <v>1480.75838082</v>
      </c>
      <c r="AZ73" s="118">
        <v>2017.75184648</v>
      </c>
      <c r="BA73" s="118">
        <v>1189.6485813300001</v>
      </c>
      <c r="BB73" s="118">
        <v>1283.1051623599999</v>
      </c>
      <c r="BC73" s="118">
        <v>1204.2850748999999</v>
      </c>
      <c r="BD73" s="118">
        <v>1419.83871327</v>
      </c>
      <c r="BE73" s="118">
        <v>1870.4747117100001</v>
      </c>
      <c r="BF73" s="118">
        <v>2046.7713666699999</v>
      </c>
      <c r="BG73" s="118">
        <v>1414.4285761000001</v>
      </c>
      <c r="BH73" s="118">
        <v>1513.7394045599999</v>
      </c>
      <c r="BI73" s="118">
        <v>1096.2611291000001</v>
      </c>
      <c r="BJ73" s="118">
        <v>918.01700581</v>
      </c>
      <c r="BK73" s="118">
        <v>987.64922708999995</v>
      </c>
      <c r="BL73" s="118">
        <v>930.57949910000002</v>
      </c>
      <c r="BM73" s="118">
        <v>931.58861838999997</v>
      </c>
      <c r="BN73" s="118">
        <v>892.70117135999999</v>
      </c>
      <c r="BO73" s="118">
        <v>1037.83389674</v>
      </c>
      <c r="BP73" s="118">
        <v>909.68314887999998</v>
      </c>
      <c r="BQ73" s="118">
        <v>922.95156086999998</v>
      </c>
      <c r="BR73" s="118">
        <v>5905.0735625799998</v>
      </c>
      <c r="BS73" s="118">
        <v>4461.2042260799999</v>
      </c>
      <c r="BT73" s="118">
        <v>4071.80253954</v>
      </c>
      <c r="BU73" s="118">
        <v>4267.2582615600004</v>
      </c>
      <c r="BV73" s="118">
        <v>2123.9362551200002</v>
      </c>
      <c r="BW73" s="118">
        <v>1504.01411181</v>
      </c>
      <c r="BX73" s="118">
        <v>1294.1485103299999</v>
      </c>
      <c r="BY73" s="118">
        <v>1317.3931204</v>
      </c>
      <c r="BZ73" s="118">
        <v>1227.82598171</v>
      </c>
      <c r="CA73" s="118">
        <v>1177.1897923199999</v>
      </c>
      <c r="CB73" s="118">
        <v>1209.6606843899999</v>
      </c>
      <c r="CC73" s="118">
        <v>1003.5064982599999</v>
      </c>
      <c r="CD73" s="118">
        <v>1742.6182649</v>
      </c>
      <c r="CE73" s="118">
        <v>4340.6838779099999</v>
      </c>
      <c r="CF73" s="118">
        <v>4531.8061595700001</v>
      </c>
      <c r="CG73" s="118">
        <v>1654.5365963199999</v>
      </c>
      <c r="CH73" s="118">
        <v>4599.97937568</v>
      </c>
      <c r="CI73" s="118">
        <v>3991.5889198</v>
      </c>
      <c r="CJ73" s="118">
        <v>1718.3755898300001</v>
      </c>
      <c r="CK73" s="118">
        <v>2044.9451983700001</v>
      </c>
      <c r="CL73" s="118">
        <v>2057.45834436</v>
      </c>
      <c r="CM73" s="118">
        <v>5592.00675882</v>
      </c>
      <c r="CN73" s="118">
        <v>5589.76100993</v>
      </c>
      <c r="CO73" s="118">
        <v>2510.6186634300002</v>
      </c>
      <c r="CP73" s="118">
        <v>1286.83101414</v>
      </c>
      <c r="CQ73" s="118">
        <v>1102.59043228</v>
      </c>
      <c r="CR73" s="118">
        <v>1292.75703189</v>
      </c>
      <c r="CS73" s="118">
        <v>1616.7781085900001</v>
      </c>
      <c r="CT73" s="118">
        <v>1639.6143162799999</v>
      </c>
      <c r="CU73" s="118">
        <v>1725.4067999599999</v>
      </c>
      <c r="CV73" s="118">
        <v>960.95287790999998</v>
      </c>
      <c r="CW73" s="118">
        <v>1101.61897434</v>
      </c>
      <c r="CX73" s="118">
        <v>1401.0115263099999</v>
      </c>
      <c r="CY73" s="118">
        <v>990.16272798</v>
      </c>
      <c r="CZ73" s="118">
        <v>1013.58040682</v>
      </c>
      <c r="DA73" s="118">
        <v>1040.1768588800001</v>
      </c>
      <c r="DB73" s="118">
        <v>1714.5399743999999</v>
      </c>
      <c r="DC73" s="118">
        <v>1690.3765139100001</v>
      </c>
      <c r="DD73" s="118">
        <v>1769.3962159</v>
      </c>
      <c r="DE73" s="118">
        <v>1524.54802356</v>
      </c>
      <c r="DF73" s="118">
        <v>1291.9130709200001</v>
      </c>
      <c r="DG73" s="118">
        <v>2496.9753177699999</v>
      </c>
    </row>
    <row r="74" spans="1:111" s="169" customFormat="1" x14ac:dyDescent="0.3">
      <c r="A74" s="167" t="s">
        <v>27</v>
      </c>
      <c r="B74" s="168">
        <f t="shared" ref="B74:I74" si="17">IFERROR(100*(B73/B72),0)</f>
        <v>3.0974525973850664</v>
      </c>
      <c r="C74" s="168">
        <f t="shared" si="17"/>
        <v>5.1749926600079359</v>
      </c>
      <c r="D74" s="168">
        <f t="shared" si="17"/>
        <v>6.3789529637026536</v>
      </c>
      <c r="E74" s="168">
        <f t="shared" si="17"/>
        <v>7.0724003204016253</v>
      </c>
      <c r="F74" s="168">
        <f t="shared" si="17"/>
        <v>8.1187945727669302</v>
      </c>
      <c r="G74" s="168">
        <f t="shared" si="17"/>
        <v>7.0279670363531626</v>
      </c>
      <c r="H74" s="168">
        <f t="shared" si="17"/>
        <v>7.3271533983049588</v>
      </c>
      <c r="I74" s="168">
        <f t="shared" si="17"/>
        <v>11.7514235286214</v>
      </c>
      <c r="J74" s="47">
        <v>5.8232746189796485</v>
      </c>
      <c r="K74" s="47">
        <v>5.3362471230271096</v>
      </c>
      <c r="L74" s="47">
        <v>5.5656543152540001</v>
      </c>
      <c r="M74" s="39">
        <v>7.6305047828190498</v>
      </c>
      <c r="N74" s="39">
        <v>10.1099038589313</v>
      </c>
      <c r="O74" s="39">
        <v>2.90183346192681</v>
      </c>
      <c r="P74" s="39">
        <v>2.1142580652701901</v>
      </c>
      <c r="Q74" s="39">
        <v>7.0724355867325803</v>
      </c>
      <c r="R74" s="39">
        <v>6.5311156714020999</v>
      </c>
      <c r="S74" s="39">
        <v>6.5637957824197297</v>
      </c>
      <c r="T74" s="39">
        <v>5.6636721231329696</v>
      </c>
      <c r="U74" s="39">
        <v>5.5346449631883896</v>
      </c>
      <c r="V74" s="39">
        <v>5.4175599874945597</v>
      </c>
      <c r="W74" s="39">
        <v>5.7525772212363799</v>
      </c>
      <c r="X74" s="39">
        <v>5.7650509608179501</v>
      </c>
      <c r="Y74" s="39">
        <v>8.1685722013092406</v>
      </c>
      <c r="Z74" s="39">
        <v>8.1764179528968306</v>
      </c>
      <c r="AA74" s="39">
        <v>7.9767986522791503</v>
      </c>
      <c r="AB74" s="39">
        <v>8.3518528165177006</v>
      </c>
      <c r="AC74" s="39">
        <v>7.7726992369494203</v>
      </c>
      <c r="AD74" s="39">
        <v>8.1226826580882108</v>
      </c>
      <c r="AE74" s="39">
        <v>7.2361407177097998</v>
      </c>
      <c r="AF74" s="39">
        <v>6.85658923781408</v>
      </c>
      <c r="AG74" s="39">
        <v>6.7409874834039396</v>
      </c>
      <c r="AH74" s="39">
        <v>6.6691239012085699</v>
      </c>
      <c r="AI74" s="39">
        <v>8.5073413154991808</v>
      </c>
      <c r="AJ74" s="39">
        <v>6.206481232602</v>
      </c>
      <c r="AK74" s="39">
        <v>4.9706511254272296</v>
      </c>
      <c r="AL74" s="39">
        <v>3.9558550345923802</v>
      </c>
      <c r="AM74" s="39">
        <v>3.7793395839269301</v>
      </c>
      <c r="AN74" s="39">
        <v>3.3281216688022899</v>
      </c>
      <c r="AO74" s="39">
        <v>3.1528487454661298</v>
      </c>
      <c r="AP74" s="39">
        <v>3.3414347906570598</v>
      </c>
      <c r="AQ74" s="39">
        <v>2.88145185670091</v>
      </c>
      <c r="AR74" s="39">
        <v>2.4399878623378299</v>
      </c>
      <c r="AS74" s="39">
        <v>2.1694534735379598</v>
      </c>
      <c r="AT74" s="39">
        <v>1.9611666874412801</v>
      </c>
      <c r="AU74" s="39">
        <v>2.4783350522394598</v>
      </c>
      <c r="AV74" s="39">
        <v>1.85183984434662</v>
      </c>
      <c r="AW74" s="39">
        <v>1.6598196186095699</v>
      </c>
      <c r="AX74" s="39">
        <v>1.66845504342984</v>
      </c>
      <c r="AY74" s="39">
        <v>1.8370666196990699</v>
      </c>
      <c r="AZ74" s="39">
        <v>2.3433730832827599</v>
      </c>
      <c r="BA74" s="39">
        <v>1.3174619191972099</v>
      </c>
      <c r="BB74" s="39">
        <v>1.4094312256616901</v>
      </c>
      <c r="BC74" s="39">
        <v>1.3924538308399701</v>
      </c>
      <c r="BD74" s="39">
        <v>1.5270776022180499</v>
      </c>
      <c r="BE74" s="39">
        <v>1.8313260467482</v>
      </c>
      <c r="BF74" s="39">
        <v>1.9238349323366599</v>
      </c>
      <c r="BG74" s="39">
        <v>1.4160001247035801</v>
      </c>
      <c r="BH74" s="39">
        <v>1.3179229060709901</v>
      </c>
      <c r="BI74" s="39">
        <v>1.0692639847401399</v>
      </c>
      <c r="BJ74" s="39">
        <v>0.80348998531967597</v>
      </c>
      <c r="BK74" s="39">
        <v>1.0059877346381099</v>
      </c>
      <c r="BL74" s="39">
        <v>0.999257732048212</v>
      </c>
      <c r="BM74" s="39">
        <v>1.0926083970798</v>
      </c>
      <c r="BN74" s="39">
        <v>1.0439966756889401</v>
      </c>
      <c r="BO74" s="39">
        <v>1.2874179042398599</v>
      </c>
      <c r="BP74" s="39">
        <v>1.25118254535542</v>
      </c>
      <c r="BQ74" s="39">
        <v>1.1392609364266799</v>
      </c>
      <c r="BR74" s="39">
        <v>7.0616925018527104</v>
      </c>
      <c r="BS74" s="39">
        <v>6.1514192262880503</v>
      </c>
      <c r="BT74" s="39">
        <v>5.5162117939091404</v>
      </c>
      <c r="BU74" s="39">
        <v>5.3530016952256503</v>
      </c>
      <c r="BV74" s="39">
        <v>2.5838948681600402</v>
      </c>
      <c r="BW74" s="39">
        <v>1.69045528035463</v>
      </c>
      <c r="BX74" s="39">
        <v>1.63589758028142</v>
      </c>
      <c r="BY74" s="39">
        <v>1.8039648768472401</v>
      </c>
      <c r="BZ74" s="39">
        <v>1.6651376809129499</v>
      </c>
      <c r="CA74" s="39">
        <v>1.6354635839968901</v>
      </c>
      <c r="CB74" s="39">
        <v>1.6902580269305501</v>
      </c>
      <c r="CC74" s="39">
        <v>1.5472937411612799</v>
      </c>
      <c r="CD74" s="39">
        <v>2.4487233860060602</v>
      </c>
      <c r="CE74" s="39">
        <v>5.6309643765357</v>
      </c>
      <c r="CF74" s="39">
        <v>5.8742014077457503</v>
      </c>
      <c r="CG74" s="39">
        <v>2.0438399447406699</v>
      </c>
      <c r="CH74" s="39">
        <v>6.5909081631267403</v>
      </c>
      <c r="CI74" s="39">
        <v>5.1618675342630498</v>
      </c>
      <c r="CJ74" s="39">
        <v>2.1371669664222499</v>
      </c>
      <c r="CK74" s="39">
        <v>2.4252980792197101</v>
      </c>
      <c r="CL74" s="39">
        <v>2.3996480494144898</v>
      </c>
      <c r="CM74" s="39">
        <v>6.1863780732431097</v>
      </c>
      <c r="CN74" s="39">
        <v>5.8340568543990399</v>
      </c>
      <c r="CO74" s="39">
        <v>2.5995975686079502</v>
      </c>
      <c r="CP74" s="39">
        <v>1.2633934040953401</v>
      </c>
      <c r="CQ74" s="39">
        <v>1.0708257377022199</v>
      </c>
      <c r="CR74" s="39">
        <v>1.28244286025556</v>
      </c>
      <c r="CS74" s="39">
        <v>1.4618529917115599</v>
      </c>
      <c r="CT74" s="39">
        <v>1.5963028756278099</v>
      </c>
      <c r="CU74" s="39">
        <v>1.9747355940275899</v>
      </c>
      <c r="CV74" s="39">
        <v>1.07738965615622</v>
      </c>
      <c r="CW74" s="39">
        <v>1.2469821053366801</v>
      </c>
      <c r="CX74" s="39">
        <v>1.50703142180894</v>
      </c>
      <c r="CY74" s="39">
        <v>1.01948260400395</v>
      </c>
      <c r="CZ74" s="39">
        <v>1.0169598838784699</v>
      </c>
      <c r="DA74" s="39">
        <v>1.0218685401576799</v>
      </c>
      <c r="DB74" s="39">
        <v>1.55339543386862</v>
      </c>
      <c r="DC74" s="39">
        <v>1.5802426287604401</v>
      </c>
      <c r="DD74" s="39">
        <v>1.5357765416775599</v>
      </c>
      <c r="DE74" s="39">
        <v>1.3010003039150599</v>
      </c>
      <c r="DF74" s="39">
        <v>1.1322306616795901</v>
      </c>
      <c r="DG74" s="39">
        <v>2.1462749466407098</v>
      </c>
    </row>
    <row r="75" spans="1:111" s="30" customFormat="1" x14ac:dyDescent="0.3">
      <c r="A75" s="131" t="s">
        <v>39</v>
      </c>
      <c r="B75" s="143">
        <f t="shared" ref="B75:I75" si="18">B66+B71+B72</f>
        <v>858555.25734189083</v>
      </c>
      <c r="C75" s="143">
        <f t="shared" si="18"/>
        <v>1109242.6554136106</v>
      </c>
      <c r="D75" s="143">
        <f t="shared" si="18"/>
        <v>1220049.2715295299</v>
      </c>
      <c r="E75" s="143">
        <f t="shared" si="18"/>
        <v>1209955.4733383406</v>
      </c>
      <c r="F75" s="143">
        <f t="shared" si="18"/>
        <v>1228293.82173019</v>
      </c>
      <c r="G75" s="143">
        <f t="shared" si="18"/>
        <v>1236020.3883527399</v>
      </c>
      <c r="H75" s="143">
        <f t="shared" si="18"/>
        <v>1264423.3430771602</v>
      </c>
      <c r="I75" s="143">
        <f t="shared" si="18"/>
        <v>1259133.1036044401</v>
      </c>
      <c r="J75" s="42">
        <v>1269442.3558875609</v>
      </c>
      <c r="K75" s="42">
        <v>1278694.7026454599</v>
      </c>
      <c r="L75" s="42">
        <v>1239783.7482757401</v>
      </c>
      <c r="M75" s="143">
        <v>1308750.96188825</v>
      </c>
      <c r="N75" s="143">
        <v>1307553.5922262799</v>
      </c>
      <c r="O75" s="144">
        <v>1320200.9681550199</v>
      </c>
      <c r="P75" s="144">
        <v>1327183.3968380799</v>
      </c>
      <c r="Q75" s="144">
        <v>1347353.7669406401</v>
      </c>
      <c r="R75" s="144">
        <v>1358601.3926933701</v>
      </c>
      <c r="S75" s="144">
        <v>1355626.9822907399</v>
      </c>
      <c r="T75" s="144">
        <v>1365748.64213694</v>
      </c>
      <c r="U75" s="144">
        <v>1361730.61660992</v>
      </c>
      <c r="V75" s="144">
        <v>1379862.84563625</v>
      </c>
      <c r="W75" s="144">
        <v>1377660.50155939</v>
      </c>
      <c r="X75" s="144">
        <v>1362652.5676348901</v>
      </c>
      <c r="Y75" s="144">
        <v>1396482.7439220301</v>
      </c>
      <c r="Z75" s="144">
        <v>1404862.8534341301</v>
      </c>
      <c r="AA75" s="144">
        <v>1412681.40475832</v>
      </c>
      <c r="AB75" s="144">
        <v>1421170.1353474699</v>
      </c>
      <c r="AC75" s="144">
        <v>1431476.32159254</v>
      </c>
      <c r="AD75" s="144">
        <v>1408715.70433351</v>
      </c>
      <c r="AE75" s="144">
        <v>1425368.44861294</v>
      </c>
      <c r="AF75" s="144">
        <v>1430860.4703546499</v>
      </c>
      <c r="AG75" s="144">
        <v>1442714.0951010101</v>
      </c>
      <c r="AH75" s="144">
        <v>1462307.9711591201</v>
      </c>
      <c r="AI75" s="144">
        <v>1474310.96988439</v>
      </c>
      <c r="AJ75" s="144">
        <v>1501804.1598809699</v>
      </c>
      <c r="AK75" s="144">
        <v>1584917.34375318</v>
      </c>
      <c r="AL75" s="144">
        <v>1609320.87285545</v>
      </c>
      <c r="AM75" s="144">
        <v>1636519.4066525199</v>
      </c>
      <c r="AN75" s="144">
        <v>1579452.7766704101</v>
      </c>
      <c r="AO75" s="144">
        <v>1613734.5329734299</v>
      </c>
      <c r="AP75" s="144">
        <v>1647812.5260103601</v>
      </c>
      <c r="AQ75" s="144">
        <v>1657245.2083567099</v>
      </c>
      <c r="AR75" s="144">
        <v>1688335.7230289299</v>
      </c>
      <c r="AS75" s="144">
        <v>1722103.87492112</v>
      </c>
      <c r="AT75" s="144">
        <v>1746767.3483775801</v>
      </c>
      <c r="AU75" s="144">
        <v>1774237.58853016</v>
      </c>
      <c r="AV75" s="144">
        <v>1807779.2819754099</v>
      </c>
      <c r="AW75" s="144">
        <v>1915679.1119987899</v>
      </c>
      <c r="AX75" s="144">
        <v>1918372.16353754</v>
      </c>
      <c r="AY75" s="144">
        <v>1935795.4340190799</v>
      </c>
      <c r="AZ75" s="144">
        <v>1953511.47471576</v>
      </c>
      <c r="BA75" s="144">
        <v>1996640.1070626299</v>
      </c>
      <c r="BB75" s="144">
        <v>2018277.6920827499</v>
      </c>
      <c r="BC75" s="144">
        <v>2046752.4136044199</v>
      </c>
      <c r="BD75" s="144">
        <v>2084454.59834478</v>
      </c>
      <c r="BE75" s="144">
        <v>2085190.58979604</v>
      </c>
      <c r="BF75" s="144">
        <v>2132236.37091076</v>
      </c>
      <c r="BG75" s="144">
        <v>2165910.9820086299</v>
      </c>
      <c r="BH75" s="144">
        <v>2202951.1649845601</v>
      </c>
      <c r="BI75" s="144">
        <v>2319274.9541882798</v>
      </c>
      <c r="BJ75" s="144">
        <v>2291150.8458110802</v>
      </c>
      <c r="BK75" s="144">
        <v>2168604.4060937008</v>
      </c>
      <c r="BL75" s="144">
        <v>2141622.6140940301</v>
      </c>
      <c r="BM75" s="144">
        <v>2174292.0325368298</v>
      </c>
      <c r="BN75" s="144">
        <v>2178298.0392491301</v>
      </c>
      <c r="BO75" s="144">
        <v>2181084.9472542498</v>
      </c>
      <c r="BP75" s="144">
        <v>2205707.9978886102</v>
      </c>
      <c r="BQ75" s="144">
        <v>2226802.2011582698</v>
      </c>
      <c r="BR75" s="144">
        <v>2234429.3625338501</v>
      </c>
      <c r="BS75" s="144">
        <v>2260705.1581993401</v>
      </c>
      <c r="BT75" s="144">
        <v>2286576.9423998799</v>
      </c>
      <c r="BU75" s="144">
        <v>2408618.8061487898</v>
      </c>
      <c r="BV75" s="144">
        <v>2397307.3350907001</v>
      </c>
      <c r="BW75" s="144">
        <v>2434557.0619979999</v>
      </c>
      <c r="BX75" s="144">
        <v>2449292.15971989</v>
      </c>
      <c r="BY75" s="144">
        <v>2518607.0643010498</v>
      </c>
      <c r="BZ75" s="144">
        <v>2559348.7841614098</v>
      </c>
      <c r="CA75" s="144">
        <v>2634778.4107075799</v>
      </c>
      <c r="CB75" s="144">
        <v>2705858.8422667002</v>
      </c>
      <c r="CC75" s="144">
        <v>2707570.94647054</v>
      </c>
      <c r="CD75" s="144">
        <v>2753564.8666193499</v>
      </c>
      <c r="CE75" s="144">
        <v>2789775.3357888898</v>
      </c>
      <c r="CF75" s="144">
        <v>2896870.7719459902</v>
      </c>
      <c r="CG75" s="144">
        <v>3080222.8499299502</v>
      </c>
      <c r="CH75" s="144">
        <v>3036104.2265667501</v>
      </c>
      <c r="CI75" s="144">
        <v>3069252.8203022499</v>
      </c>
      <c r="CJ75" s="144">
        <v>3118670.6750087198</v>
      </c>
      <c r="CK75" s="144">
        <v>3131922.40348286</v>
      </c>
      <c r="CL75" s="144">
        <v>3174605.30946565</v>
      </c>
      <c r="CM75" s="144">
        <v>3234377.8967551999</v>
      </c>
      <c r="CN75" s="170">
        <v>3248193.3059821599</v>
      </c>
      <c r="CO75" s="170">
        <v>3255918.7406732002</v>
      </c>
      <c r="CP75" s="170">
        <v>3290714.5322678499</v>
      </c>
      <c r="CQ75" s="170">
        <v>3343906.1662496501</v>
      </c>
      <c r="CR75" s="170">
        <v>3391953.7578829001</v>
      </c>
      <c r="CS75" s="170">
        <v>3547223.2635459802</v>
      </c>
      <c r="CT75" s="170">
        <v>3507307.8282068698</v>
      </c>
      <c r="CU75" s="170">
        <v>3557274.9927451601</v>
      </c>
      <c r="CV75" s="170">
        <v>3542860.7074899501</v>
      </c>
      <c r="CW75" s="170">
        <v>3614879.6522407802</v>
      </c>
      <c r="CX75" s="170">
        <v>3653520.0757606202</v>
      </c>
      <c r="CY75" s="170">
        <v>3685505.1300558001</v>
      </c>
      <c r="CZ75" s="170">
        <v>3693565.4822189701</v>
      </c>
      <c r="DA75" s="170">
        <v>3722846.8552489998</v>
      </c>
      <c r="DB75" s="170">
        <v>3784418.56013464</v>
      </c>
      <c r="DC75" s="170">
        <v>3850130.07751477</v>
      </c>
      <c r="DD75" s="170">
        <v>3964652.8161400198</v>
      </c>
      <c r="DE75" s="170">
        <v>4068070.4778989898</v>
      </c>
      <c r="DF75" s="170">
        <v>4027540.1379751498</v>
      </c>
      <c r="DG75" s="170">
        <v>4050092.2932392801</v>
      </c>
    </row>
    <row r="76" spans="1:111" s="55" customFormat="1" x14ac:dyDescent="0.3">
      <c r="A76" s="132" t="s">
        <v>26</v>
      </c>
      <c r="B76" s="80">
        <f t="shared" ref="B76:I76" si="19">B67+B73</f>
        <v>214778.53026668998</v>
      </c>
      <c r="C76" s="80">
        <f t="shared" si="19"/>
        <v>260625.88783316995</v>
      </c>
      <c r="D76" s="80">
        <f t="shared" si="19"/>
        <v>262322.2929209299</v>
      </c>
      <c r="E76" s="80">
        <f t="shared" si="19"/>
        <v>267069.2480608201</v>
      </c>
      <c r="F76" s="80">
        <f t="shared" si="19"/>
        <v>273403.38384181994</v>
      </c>
      <c r="G76" s="80">
        <f t="shared" si="19"/>
        <v>292047.03928285994</v>
      </c>
      <c r="H76" s="80">
        <f t="shared" si="19"/>
        <v>297891.4784944799</v>
      </c>
      <c r="I76" s="80">
        <f t="shared" si="19"/>
        <v>299441.21078175993</v>
      </c>
      <c r="J76" s="54">
        <v>300210.83876474993</v>
      </c>
      <c r="K76" s="125">
        <v>301189.84580180002</v>
      </c>
      <c r="L76" s="54">
        <v>299126.10478376999</v>
      </c>
      <c r="M76" s="80">
        <v>310093.34150536999</v>
      </c>
      <c r="N76" s="53">
        <v>319727.82791989</v>
      </c>
      <c r="O76" s="80">
        <v>319668.14789293002</v>
      </c>
      <c r="P76" s="80">
        <v>320331.35466731997</v>
      </c>
      <c r="Q76" s="80">
        <v>323794.91362542001</v>
      </c>
      <c r="R76" s="80">
        <v>324729.80248474999</v>
      </c>
      <c r="S76" s="80">
        <v>323888.15150739998</v>
      </c>
      <c r="T76" s="80">
        <v>321410.16805931</v>
      </c>
      <c r="U76" s="80">
        <v>323008.64443061</v>
      </c>
      <c r="V76" s="80">
        <v>323626.1324075</v>
      </c>
      <c r="W76" s="80">
        <v>331725.36555824999</v>
      </c>
      <c r="X76" s="80">
        <v>323344.23355440999</v>
      </c>
      <c r="Y76" s="80">
        <v>321004.09423991002</v>
      </c>
      <c r="Z76" s="80">
        <v>316907.42188882001</v>
      </c>
      <c r="AA76" s="80">
        <v>313890.54575086001</v>
      </c>
      <c r="AB76" s="80">
        <v>314419.34530632</v>
      </c>
      <c r="AC76" s="80">
        <v>313990.91456727003</v>
      </c>
      <c r="AD76" s="80">
        <v>304880.65144023998</v>
      </c>
      <c r="AE76" s="80">
        <v>307010.07097351999</v>
      </c>
      <c r="AF76" s="80">
        <v>307863.42852497002</v>
      </c>
      <c r="AG76" s="80">
        <v>303313.48428934999</v>
      </c>
      <c r="AH76" s="80">
        <v>303813.34232231003</v>
      </c>
      <c r="AI76" s="80">
        <v>305580.29079884</v>
      </c>
      <c r="AJ76" s="80">
        <v>305612.89417401998</v>
      </c>
      <c r="AK76" s="80">
        <v>297252.08091039001</v>
      </c>
      <c r="AL76" s="80">
        <v>297452.91590948001</v>
      </c>
      <c r="AM76" s="80">
        <v>296709.85263953003</v>
      </c>
      <c r="AN76" s="80">
        <v>295898.07275940001</v>
      </c>
      <c r="AO76" s="80">
        <v>294303.97662754997</v>
      </c>
      <c r="AP76" s="80">
        <v>293002.00342050998</v>
      </c>
      <c r="AQ76" s="80">
        <v>293362.73295118002</v>
      </c>
      <c r="AR76" s="80">
        <v>294423.96581202</v>
      </c>
      <c r="AS76" s="80">
        <v>295911.52668407001</v>
      </c>
      <c r="AT76" s="80">
        <v>289139.99422568001</v>
      </c>
      <c r="AU76" s="80">
        <v>271902.03541095002</v>
      </c>
      <c r="AV76" s="80">
        <v>273412.56257543998</v>
      </c>
      <c r="AW76" s="80">
        <v>264260.70631588</v>
      </c>
      <c r="AX76" s="80">
        <v>265688.47947446001</v>
      </c>
      <c r="AY76" s="80">
        <v>264760.72443104</v>
      </c>
      <c r="AZ76" s="80">
        <v>262160.22157603002</v>
      </c>
      <c r="BA76" s="80">
        <v>262728.53899134003</v>
      </c>
      <c r="BB76" s="80">
        <v>258845.12993661</v>
      </c>
      <c r="BC76" s="80">
        <v>262223.68747881998</v>
      </c>
      <c r="BD76" s="80">
        <v>259814.32702977001</v>
      </c>
      <c r="BE76" s="80">
        <v>260495.26411136999</v>
      </c>
      <c r="BF76" s="80">
        <v>258084.26969037001</v>
      </c>
      <c r="BG76" s="80">
        <v>257165.11768011999</v>
      </c>
      <c r="BH76" s="80">
        <v>254409.81206078001</v>
      </c>
      <c r="BI76" s="80">
        <v>243939.49407868</v>
      </c>
      <c r="BJ76" s="80">
        <v>244705.32185658999</v>
      </c>
      <c r="BK76" s="80">
        <v>239543.78661089003</v>
      </c>
      <c r="BL76" s="80">
        <v>241056.70735616999</v>
      </c>
      <c r="BM76" s="80">
        <v>242069.26648634</v>
      </c>
      <c r="BN76" s="80">
        <v>246706.56512774999</v>
      </c>
      <c r="BO76" s="80">
        <v>264411.29395279998</v>
      </c>
      <c r="BP76" s="80">
        <v>269107.53942782001</v>
      </c>
      <c r="BQ76" s="80">
        <v>272376.07055776002</v>
      </c>
      <c r="BR76" s="80">
        <v>302608.74157781998</v>
      </c>
      <c r="BS76" s="80">
        <v>308277.62954037997</v>
      </c>
      <c r="BT76" s="80">
        <v>315268.29670666001</v>
      </c>
      <c r="BU76" s="80">
        <v>322071.72837991</v>
      </c>
      <c r="BV76" s="80">
        <v>324977.08772868</v>
      </c>
      <c r="BW76" s="80">
        <v>322631.13312667998</v>
      </c>
      <c r="BX76" s="80">
        <v>320625.49903293001</v>
      </c>
      <c r="BY76" s="80">
        <v>319234.29210722999</v>
      </c>
      <c r="BZ76" s="80">
        <v>316942.79544769</v>
      </c>
      <c r="CA76" s="80">
        <v>314770.46175655001</v>
      </c>
      <c r="CB76" s="80">
        <v>316180.70124745998</v>
      </c>
      <c r="CC76" s="80">
        <v>309686.89099123998</v>
      </c>
      <c r="CD76" s="80">
        <v>307097.26297297998</v>
      </c>
      <c r="CE76" s="80">
        <v>311334.04714598</v>
      </c>
      <c r="CF76" s="80">
        <v>311195.59638945002</v>
      </c>
      <c r="CG76" s="80">
        <v>303306.80438554997</v>
      </c>
      <c r="CH76" s="80">
        <v>304361.58436799003</v>
      </c>
      <c r="CI76" s="80">
        <v>302612.54891173</v>
      </c>
      <c r="CJ76" s="80">
        <v>300292.51290166</v>
      </c>
      <c r="CK76" s="80">
        <v>298870.75120626</v>
      </c>
      <c r="CL76" s="80">
        <v>297388.75891162001</v>
      </c>
      <c r="CM76" s="80">
        <v>299055.72719890001</v>
      </c>
      <c r="CN76" s="77">
        <v>297164.48655461002</v>
      </c>
      <c r="CO76" s="77">
        <v>293340.61953899002</v>
      </c>
      <c r="CP76" s="77">
        <v>290775.99169169</v>
      </c>
      <c r="CQ76" s="77">
        <v>290613.70430148998</v>
      </c>
      <c r="CR76" s="77">
        <v>290346.20771394001</v>
      </c>
      <c r="CS76" s="77">
        <v>275278.65057821001</v>
      </c>
      <c r="CT76" s="77">
        <v>278738.04345085</v>
      </c>
      <c r="CU76" s="77">
        <v>277089.41037320998</v>
      </c>
      <c r="CV76" s="77">
        <v>272761.63051722001</v>
      </c>
      <c r="CW76" s="77">
        <v>272898.43305933999</v>
      </c>
      <c r="CX76" s="77">
        <v>272851.88008233003</v>
      </c>
      <c r="CY76" s="77">
        <v>272326.80521551002</v>
      </c>
      <c r="CZ76" s="77">
        <v>265744.63576927001</v>
      </c>
      <c r="DA76" s="77">
        <v>264841.18617514003</v>
      </c>
      <c r="DB76" s="77">
        <v>263237.21892135002</v>
      </c>
      <c r="DC76" s="77">
        <v>265775.96666799003</v>
      </c>
      <c r="DD76" s="77">
        <v>263743.11925327999</v>
      </c>
      <c r="DE76" s="77">
        <v>105348.77729542</v>
      </c>
      <c r="DF76" s="77">
        <v>108740.87184753</v>
      </c>
      <c r="DG76" s="77">
        <v>103314.72215674999</v>
      </c>
    </row>
    <row r="77" spans="1:111" s="173" customFormat="1" x14ac:dyDescent="0.3">
      <c r="A77" s="171" t="s">
        <v>27</v>
      </c>
      <c r="B77" s="172">
        <f t="shared" ref="B77:I77" si="20">IFERROR(100*(B76/B75),0)</f>
        <v>25.016273376701442</v>
      </c>
      <c r="C77" s="172">
        <f t="shared" si="20"/>
        <v>23.495840748748403</v>
      </c>
      <c r="D77" s="172">
        <f t="shared" si="20"/>
        <v>21.500958940130861</v>
      </c>
      <c r="E77" s="172">
        <f t="shared" si="20"/>
        <v>22.072650931852873</v>
      </c>
      <c r="F77" s="172">
        <f t="shared" si="20"/>
        <v>22.25879337703584</v>
      </c>
      <c r="G77" s="172">
        <f t="shared" si="20"/>
        <v>23.628011482243814</v>
      </c>
      <c r="H77" s="172">
        <f t="shared" si="20"/>
        <v>23.559473187952793</v>
      </c>
      <c r="I77" s="172">
        <f t="shared" si="20"/>
        <v>23.781537466100179</v>
      </c>
      <c r="J77" s="147">
        <v>23.649032771941059</v>
      </c>
      <c r="K77" s="148">
        <v>23.554476700237799</v>
      </c>
      <c r="L77" s="147">
        <v>24.127280680988701</v>
      </c>
      <c r="M77" s="147">
        <v>23.693838670266999</v>
      </c>
      <c r="N77" s="147">
        <v>24.4523688987395</v>
      </c>
      <c r="O77" s="147">
        <v>24.213597444915202</v>
      </c>
      <c r="P77" s="147">
        <v>24.136178574150801</v>
      </c>
      <c r="Q77" s="147">
        <v>24.031915119118501</v>
      </c>
      <c r="R77" s="147">
        <v>23.901771647752199</v>
      </c>
      <c r="S77" s="147">
        <v>23.892129305370801</v>
      </c>
      <c r="T77" s="147">
        <v>23.533625305781801</v>
      </c>
      <c r="U77" s="147">
        <v>23.7204510562267</v>
      </c>
      <c r="V77" s="147">
        <v>23.453499993202399</v>
      </c>
      <c r="W77" s="147">
        <v>24.078890639803198</v>
      </c>
      <c r="X77" s="147">
        <v>23.729029778707801</v>
      </c>
      <c r="Y77" s="147">
        <v>22.986613736333599</v>
      </c>
      <c r="Z77" s="147">
        <v>22.557890338843599</v>
      </c>
      <c r="AA77" s="147">
        <v>22.219485914770701</v>
      </c>
      <c r="AB77" s="147">
        <v>22.123976397058598</v>
      </c>
      <c r="AC77" s="147">
        <v>21.9347613251437</v>
      </c>
      <c r="AD77" s="147">
        <v>21.642454222832999</v>
      </c>
      <c r="AE77" s="147">
        <v>21.538997251712601</v>
      </c>
      <c r="AF77" s="147">
        <v>21.5159643377851</v>
      </c>
      <c r="AG77" s="147">
        <v>21.023810976776598</v>
      </c>
      <c r="AH77" s="147">
        <v>20.776289831853099</v>
      </c>
      <c r="AI77" s="147">
        <v>20.7269902375347</v>
      </c>
      <c r="AJ77" s="147">
        <v>20.3497168497817</v>
      </c>
      <c r="AK77" s="147">
        <v>18.7550525635917</v>
      </c>
      <c r="AL77" s="147">
        <v>18.483132911940899</v>
      </c>
      <c r="AM77" s="147">
        <v>18.130542872476301</v>
      </c>
      <c r="AN77" s="147">
        <v>18.734214604578</v>
      </c>
      <c r="AO77" s="147">
        <v>18.237446780374199</v>
      </c>
      <c r="AP77" s="147">
        <v>17.781270550838599</v>
      </c>
      <c r="AQ77" s="147">
        <v>17.701830210272401</v>
      </c>
      <c r="AR77" s="147">
        <v>17.4387097184566</v>
      </c>
      <c r="AS77" s="147">
        <v>17.183140401308499</v>
      </c>
      <c r="AT77" s="147">
        <v>16.552862319886898</v>
      </c>
      <c r="AU77" s="147">
        <v>15.325007043515701</v>
      </c>
      <c r="AV77" s="147">
        <v>15.124222591857301</v>
      </c>
      <c r="AW77" s="147">
        <v>13.794622735127801</v>
      </c>
      <c r="AX77" s="147">
        <v>13.8496838373906</v>
      </c>
      <c r="AY77" s="147">
        <v>13.677102434390299</v>
      </c>
      <c r="AZ77" s="147">
        <v>13.4199478717766</v>
      </c>
      <c r="BA77" s="147">
        <v>13.1585325799077</v>
      </c>
      <c r="BB77" s="147">
        <v>12.8250503363339</v>
      </c>
      <c r="BC77" s="147">
        <v>12.811695529750599</v>
      </c>
      <c r="BD77" s="147">
        <v>12.464379278689201</v>
      </c>
      <c r="BE77" s="147">
        <v>12.4926357037152</v>
      </c>
      <c r="BF77" s="147">
        <v>12.1039239931984</v>
      </c>
      <c r="BG77" s="147">
        <v>11.873300417989901</v>
      </c>
      <c r="BH77" s="147">
        <v>11.548590640799</v>
      </c>
      <c r="BI77" s="147">
        <v>10.517920423284</v>
      </c>
      <c r="BJ77" s="147">
        <v>10.6804544233299</v>
      </c>
      <c r="BK77" s="147">
        <v>11.045988191197093</v>
      </c>
      <c r="BL77" s="147">
        <v>11.2557976260511</v>
      </c>
      <c r="BM77" s="147">
        <v>11.1332453444126</v>
      </c>
      <c r="BN77" s="147">
        <v>11.3256570351039</v>
      </c>
      <c r="BO77" s="147">
        <v>12.122925073856701</v>
      </c>
      <c r="BP77" s="147">
        <v>12.2005061270767</v>
      </c>
      <c r="BQ77" s="147">
        <v>12.2317137290453</v>
      </c>
      <c r="BR77" s="147">
        <v>13.5429987920791</v>
      </c>
      <c r="BS77" s="147">
        <v>13.636348305849999</v>
      </c>
      <c r="BT77" s="147">
        <v>13.787784301532</v>
      </c>
      <c r="BU77" s="147">
        <v>13.3716355430638</v>
      </c>
      <c r="BV77" s="147">
        <v>13.5559209689893</v>
      </c>
      <c r="BW77" s="147">
        <v>13.2521491552924</v>
      </c>
      <c r="BX77" s="147">
        <v>13.0905371072432</v>
      </c>
      <c r="BY77" s="147">
        <v>12.675033618069399</v>
      </c>
      <c r="BZ77" s="147">
        <v>12.383728134637099</v>
      </c>
      <c r="CA77" s="147">
        <v>11.9467527317418</v>
      </c>
      <c r="CB77" s="147">
        <v>11.685040487278201</v>
      </c>
      <c r="CC77" s="147">
        <v>11.4378126045019</v>
      </c>
      <c r="CD77" s="147">
        <v>11.152715764782901</v>
      </c>
      <c r="CE77" s="147">
        <v>11.1598250637606</v>
      </c>
      <c r="CF77" s="147">
        <v>10.742474238172599</v>
      </c>
      <c r="CG77" s="147">
        <v>9.8469110568557703</v>
      </c>
      <c r="CH77" s="147">
        <v>10.0247409724851</v>
      </c>
      <c r="CI77" s="147">
        <v>9.8594858953955296</v>
      </c>
      <c r="CJ77" s="147">
        <v>9.6288625569873698</v>
      </c>
      <c r="CK77" s="147">
        <v>9.5427252882734308</v>
      </c>
      <c r="CL77" s="147">
        <v>9.3677396060827594</v>
      </c>
      <c r="CM77" s="147">
        <v>9.2461591299804304</v>
      </c>
      <c r="CN77" s="147">
        <v>9.1486084281783793</v>
      </c>
      <c r="CO77" s="147">
        <v>9.0094576340175596</v>
      </c>
      <c r="CP77" s="147">
        <v>8.8362569539356794</v>
      </c>
      <c r="CQ77" s="147">
        <v>8.6908450731865798</v>
      </c>
      <c r="CR77" s="147">
        <v>8.5598515911125101</v>
      </c>
      <c r="CS77" s="147">
        <v>7.7603982080064497</v>
      </c>
      <c r="CT77" s="147">
        <v>7.9473504210024304</v>
      </c>
      <c r="CU77" s="147">
        <v>7.7893727906421804</v>
      </c>
      <c r="CV77" s="147">
        <v>7.6989092441759199</v>
      </c>
      <c r="CW77" s="147">
        <v>7.5493089483678002</v>
      </c>
      <c r="CX77" s="147">
        <v>7.4681916186138801</v>
      </c>
      <c r="CY77" s="147">
        <v>7.3891310853062597</v>
      </c>
      <c r="CZ77" s="147">
        <v>7.1947996332697901</v>
      </c>
      <c r="DA77" s="147">
        <v>7.1139425410886599</v>
      </c>
      <c r="DB77" s="147">
        <v>6.9558167189621001</v>
      </c>
      <c r="DC77" s="147">
        <v>6.9030386329063003</v>
      </c>
      <c r="DD77" s="147">
        <v>6.6523635608037903</v>
      </c>
      <c r="DE77" s="147">
        <v>2.5896497582271198</v>
      </c>
      <c r="DF77" s="147">
        <v>2.6999326666474799</v>
      </c>
      <c r="DG77" s="147">
        <v>2.5509226624097101</v>
      </c>
    </row>
    <row r="79" spans="1:111" x14ac:dyDescent="0.3">
      <c r="A79" s="150" t="s">
        <v>40</v>
      </c>
    </row>
    <row r="80" spans="1:111" x14ac:dyDescent="0.3">
      <c r="B80" s="30"/>
      <c r="C80" s="30"/>
      <c r="D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</row>
    <row r="81" spans="1:110" ht="102.75" customHeight="1" x14ac:dyDescent="0.3">
      <c r="A81" s="206" t="s">
        <v>41</v>
      </c>
      <c r="B81" s="206"/>
      <c r="C81" s="206"/>
      <c r="D81" s="206"/>
      <c r="E81" s="206"/>
      <c r="F81" s="206"/>
      <c r="G81" s="206"/>
      <c r="H81" s="206"/>
      <c r="I81" s="206"/>
      <c r="M81" s="15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4"/>
      <c r="AL81" s="174"/>
      <c r="AM81" s="174"/>
      <c r="AN81" s="174"/>
      <c r="AO81" s="174"/>
      <c r="AP81" s="174"/>
      <c r="AQ81" s="174"/>
      <c r="AR81" s="174"/>
      <c r="AS81" s="174"/>
      <c r="AT81" s="174"/>
      <c r="AU81" s="174"/>
      <c r="AV81" s="174"/>
      <c r="AW81" s="174"/>
      <c r="AX81" s="174"/>
      <c r="AY81" s="174"/>
      <c r="AZ81" s="174"/>
      <c r="BA81" s="174"/>
      <c r="BB81" s="174"/>
      <c r="BC81" s="174"/>
      <c r="BD81" s="174"/>
      <c r="BE81" s="174"/>
      <c r="BF81" s="174"/>
      <c r="BG81" s="174"/>
      <c r="BH81" s="174"/>
      <c r="BI81" s="174"/>
      <c r="BJ81" s="174"/>
      <c r="BK81" s="174"/>
      <c r="BL81" s="174"/>
      <c r="BM81" s="174"/>
      <c r="BN81" s="174"/>
      <c r="BO81" s="174"/>
      <c r="BP81" s="174"/>
      <c r="BQ81" s="174"/>
      <c r="BR81" s="174"/>
      <c r="BS81" s="174"/>
      <c r="BT81" s="174"/>
      <c r="BU81" s="174"/>
      <c r="BV81" s="174"/>
      <c r="BW81" s="174"/>
      <c r="BX81" s="174"/>
      <c r="BY81" s="174"/>
      <c r="BZ81" s="174"/>
      <c r="CA81" s="174"/>
      <c r="CB81" s="174"/>
      <c r="CC81" s="174"/>
      <c r="CD81" s="174"/>
      <c r="CE81" s="174"/>
      <c r="CF81" s="174"/>
      <c r="CG81" s="174"/>
      <c r="CH81" s="174"/>
      <c r="CI81" s="174"/>
      <c r="CJ81" s="174"/>
      <c r="CK81" s="174"/>
      <c r="CL81" s="174"/>
      <c r="CM81" s="174"/>
      <c r="CN81" s="174"/>
      <c r="CO81" s="174"/>
      <c r="CP81" s="174"/>
      <c r="CQ81" s="174"/>
      <c r="CR81" s="174"/>
      <c r="CS81" s="174"/>
      <c r="CT81" s="174"/>
      <c r="CU81" s="174"/>
      <c r="CV81" s="174"/>
      <c r="CW81" s="174"/>
      <c r="CX81" s="174"/>
      <c r="CY81" s="174"/>
      <c r="CZ81" s="174"/>
      <c r="DA81" s="174"/>
      <c r="DB81" s="174"/>
      <c r="DC81" s="174"/>
      <c r="DD81" s="174"/>
      <c r="DE81" s="174"/>
      <c r="DF81" s="174"/>
    </row>
    <row r="82" spans="1:110" ht="17.25" customHeight="1" x14ac:dyDescent="0.3">
      <c r="A82" s="154" t="s">
        <v>42</v>
      </c>
      <c r="B82" s="154"/>
      <c r="C82" s="154"/>
      <c r="D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4"/>
      <c r="CS82" s="154"/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</row>
    <row r="83" spans="1:110" x14ac:dyDescent="0.3">
      <c r="A83" s="155" t="s">
        <v>44</v>
      </c>
      <c r="B83" s="154"/>
      <c r="C83" s="154"/>
      <c r="D83" s="154"/>
    </row>
    <row r="86" spans="1:110" x14ac:dyDescent="0.3">
      <c r="I86" s="30"/>
      <c r="J86" s="30"/>
      <c r="K86" s="30"/>
      <c r="L86" s="30"/>
    </row>
    <row r="89" spans="1:110" x14ac:dyDescent="0.3">
      <c r="I89" s="30"/>
      <c r="J89" s="30"/>
      <c r="K89" s="30"/>
      <c r="L89" s="30"/>
    </row>
  </sheetData>
  <mergeCells count="3">
    <mergeCell ref="A3:A4"/>
    <mergeCell ref="M3:DG3"/>
    <mergeCell ref="A81:I81"/>
  </mergeCells>
  <pageMargins left="0.43307086614173229" right="0.23622047244094491" top="0.55118110236220474" bottom="0.55118110236220474" header="0.31496062992125984" footer="0.31496062992125984"/>
  <pageSetup paperSize="9"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A1:DH89"/>
  <sheetViews>
    <sheetView zoomScale="70" zoomScaleNormal="70" workbookViewId="0">
      <pane xSplit="1" ySplit="4" topLeftCell="B5" activePane="bottomRight" state="frozenSplit"/>
      <selection activeCell="M3" sqref="M3:DG3"/>
      <selection pane="topRight" activeCell="M3" sqref="M3:DG3"/>
      <selection pane="bottomLeft" activeCell="M3" sqref="M3:DG3"/>
      <selection pane="bottomRight" activeCell="M4" sqref="M4"/>
    </sheetView>
  </sheetViews>
  <sheetFormatPr defaultColWidth="8.88671875" defaultRowHeight="14.4" outlineLevelCol="1" x14ac:dyDescent="0.3"/>
  <cols>
    <col min="1" max="1" width="52.6640625" style="1" customWidth="1"/>
    <col min="2" max="4" width="13" style="4" hidden="1" customWidth="1" outlineLevel="1"/>
    <col min="5" max="5" width="13" style="30" hidden="1" customWidth="1" outlineLevel="1"/>
    <col min="6" max="12" width="13" style="4" hidden="1" customWidth="1" outlineLevel="1"/>
    <col min="13" max="13" width="13" style="4" customWidth="1" collapsed="1"/>
    <col min="14" max="24" width="13" style="4" hidden="1" customWidth="1" outlineLevel="1"/>
    <col min="25" max="25" width="13" style="4" customWidth="1" collapsed="1"/>
    <col min="26" max="36" width="13" style="4" hidden="1" customWidth="1" outlineLevel="1"/>
    <col min="37" max="37" width="13" style="4" customWidth="1" collapsed="1"/>
    <col min="38" max="48" width="13" style="4" hidden="1" customWidth="1" outlineLevel="1"/>
    <col min="49" max="49" width="13" style="4" customWidth="1" collapsed="1"/>
    <col min="50" max="60" width="13" style="4" hidden="1" customWidth="1" outlineLevel="1"/>
    <col min="61" max="61" width="13" style="4" customWidth="1" collapsed="1"/>
    <col min="62" max="72" width="13" style="4" hidden="1" customWidth="1" outlineLevel="1"/>
    <col min="73" max="73" width="13" style="4" customWidth="1" collapsed="1"/>
    <col min="74" max="84" width="13" style="4" hidden="1" customWidth="1" outlineLevel="1"/>
    <col min="85" max="85" width="13" style="4" customWidth="1" collapsed="1"/>
    <col min="86" max="96" width="13" style="4" hidden="1" customWidth="1" outlineLevel="1"/>
    <col min="97" max="97" width="13" style="4" customWidth="1" collapsed="1"/>
    <col min="98" max="108" width="13" style="4" hidden="1" customWidth="1" outlineLevel="1"/>
    <col min="109" max="109" width="13" style="4" customWidth="1" collapsed="1"/>
    <col min="110" max="111" width="13" style="4" customWidth="1"/>
    <col min="112" max="16384" width="8.88671875" style="4"/>
  </cols>
  <sheetData>
    <row r="1" spans="1:111" x14ac:dyDescent="0.3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DC1" s="175"/>
      <c r="DD1" s="175"/>
      <c r="DE1" s="175"/>
      <c r="DF1" s="175"/>
      <c r="DG1" s="175" t="s">
        <v>1</v>
      </c>
    </row>
    <row r="2" spans="1:111" s="10" customFormat="1" x14ac:dyDescent="0.3">
      <c r="A2" s="5"/>
      <c r="B2" s="6"/>
      <c r="C2" s="6"/>
      <c r="D2" s="176"/>
      <c r="E2" s="7"/>
      <c r="F2" s="7"/>
      <c r="G2" s="7"/>
      <c r="H2" s="7"/>
      <c r="I2" s="7"/>
      <c r="J2" s="7"/>
      <c r="K2" s="7"/>
      <c r="L2" s="7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9"/>
      <c r="DD2" s="9"/>
      <c r="DE2" s="9"/>
      <c r="DF2" s="9"/>
      <c r="DG2" s="9"/>
    </row>
    <row r="3" spans="1:111" s="1" customFormat="1" x14ac:dyDescent="0.3">
      <c r="A3" s="203" t="s">
        <v>2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207" t="s">
        <v>45</v>
      </c>
      <c r="N3" s="208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  <c r="Z3" s="208"/>
      <c r="AA3" s="208"/>
      <c r="AB3" s="208"/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8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E3" s="208"/>
      <c r="DF3" s="208"/>
      <c r="DG3" s="209"/>
    </row>
    <row r="4" spans="1:111" s="15" customFormat="1" ht="14.4" customHeight="1" x14ac:dyDescent="0.3">
      <c r="A4" s="204"/>
      <c r="B4" s="12" t="s">
        <v>3</v>
      </c>
      <c r="C4" s="13">
        <v>42795</v>
      </c>
      <c r="D4" s="12">
        <v>42826</v>
      </c>
      <c r="E4" s="12">
        <v>42856</v>
      </c>
      <c r="F4" s="12">
        <v>42887</v>
      </c>
      <c r="G4" s="12">
        <v>42917</v>
      </c>
      <c r="H4" s="12">
        <v>42948</v>
      </c>
      <c r="I4" s="12">
        <v>42979</v>
      </c>
      <c r="J4" s="12">
        <v>43009</v>
      </c>
      <c r="K4" s="12">
        <v>43040</v>
      </c>
      <c r="L4" s="12">
        <v>43070</v>
      </c>
      <c r="M4" s="12">
        <v>43101</v>
      </c>
      <c r="N4" s="12">
        <v>43132</v>
      </c>
      <c r="O4" s="12">
        <v>43160</v>
      </c>
      <c r="P4" s="12">
        <v>43191</v>
      </c>
      <c r="Q4" s="12">
        <v>43221</v>
      </c>
      <c r="R4" s="12">
        <v>43252</v>
      </c>
      <c r="S4" s="12">
        <v>43282</v>
      </c>
      <c r="T4" s="12">
        <v>43313</v>
      </c>
      <c r="U4" s="12">
        <v>43344</v>
      </c>
      <c r="V4" s="12">
        <v>43374</v>
      </c>
      <c r="W4" s="12">
        <v>43405</v>
      </c>
      <c r="X4" s="12">
        <v>43435</v>
      </c>
      <c r="Y4" s="12">
        <v>43466</v>
      </c>
      <c r="Z4" s="12">
        <v>43497</v>
      </c>
      <c r="AA4" s="12">
        <v>43525</v>
      </c>
      <c r="AB4" s="12">
        <v>43556</v>
      </c>
      <c r="AC4" s="12">
        <v>43586</v>
      </c>
      <c r="AD4" s="12">
        <v>43617</v>
      </c>
      <c r="AE4" s="12">
        <v>43647</v>
      </c>
      <c r="AF4" s="12">
        <v>43678</v>
      </c>
      <c r="AG4" s="12">
        <v>43709</v>
      </c>
      <c r="AH4" s="12">
        <v>43739</v>
      </c>
      <c r="AI4" s="12">
        <v>43770</v>
      </c>
      <c r="AJ4" s="12">
        <v>43800</v>
      </c>
      <c r="AK4" s="12">
        <v>43831</v>
      </c>
      <c r="AL4" s="12">
        <v>43862</v>
      </c>
      <c r="AM4" s="12">
        <v>43891</v>
      </c>
      <c r="AN4" s="12">
        <v>43922</v>
      </c>
      <c r="AO4" s="12">
        <v>43952</v>
      </c>
      <c r="AP4" s="12">
        <v>43983</v>
      </c>
      <c r="AQ4" s="12">
        <v>44013</v>
      </c>
      <c r="AR4" s="12">
        <v>44044</v>
      </c>
      <c r="AS4" s="12">
        <v>44075</v>
      </c>
      <c r="AT4" s="12">
        <v>44105</v>
      </c>
      <c r="AU4" s="12">
        <v>44136</v>
      </c>
      <c r="AV4" s="12">
        <v>44166</v>
      </c>
      <c r="AW4" s="12">
        <v>44197</v>
      </c>
      <c r="AX4" s="12">
        <v>44228</v>
      </c>
      <c r="AY4" s="12">
        <v>44256</v>
      </c>
      <c r="AZ4" s="12">
        <v>44287</v>
      </c>
      <c r="BA4" s="12">
        <v>44317</v>
      </c>
      <c r="BB4" s="12">
        <v>44348</v>
      </c>
      <c r="BC4" s="12">
        <v>44378</v>
      </c>
      <c r="BD4" s="12">
        <v>44409</v>
      </c>
      <c r="BE4" s="12">
        <v>44440</v>
      </c>
      <c r="BF4" s="12">
        <v>44470</v>
      </c>
      <c r="BG4" s="12">
        <v>44501</v>
      </c>
      <c r="BH4" s="12">
        <v>44531</v>
      </c>
      <c r="BI4" s="12">
        <v>44562</v>
      </c>
      <c r="BJ4" s="12">
        <v>44593</v>
      </c>
      <c r="BK4" s="12">
        <v>44621</v>
      </c>
      <c r="BL4" s="12">
        <v>44652</v>
      </c>
      <c r="BM4" s="12">
        <v>44682</v>
      </c>
      <c r="BN4" s="12">
        <v>44713</v>
      </c>
      <c r="BO4" s="12">
        <v>44743</v>
      </c>
      <c r="BP4" s="12">
        <v>44774</v>
      </c>
      <c r="BQ4" s="12">
        <v>44805</v>
      </c>
      <c r="BR4" s="12">
        <v>44835</v>
      </c>
      <c r="BS4" s="12">
        <v>44866</v>
      </c>
      <c r="BT4" s="12">
        <v>44896</v>
      </c>
      <c r="BU4" s="12">
        <v>44927</v>
      </c>
      <c r="BV4" s="12">
        <v>44958</v>
      </c>
      <c r="BW4" s="12">
        <v>44986</v>
      </c>
      <c r="BX4" s="12">
        <v>45017</v>
      </c>
      <c r="BY4" s="12">
        <v>45047</v>
      </c>
      <c r="BZ4" s="12">
        <v>45078</v>
      </c>
      <c r="CA4" s="12">
        <v>45108</v>
      </c>
      <c r="CB4" s="12">
        <v>45139</v>
      </c>
      <c r="CC4" s="12">
        <v>45170</v>
      </c>
      <c r="CD4" s="12">
        <v>45200</v>
      </c>
      <c r="CE4" s="12">
        <v>45231</v>
      </c>
      <c r="CF4" s="12">
        <v>45261</v>
      </c>
      <c r="CG4" s="12">
        <v>45292</v>
      </c>
      <c r="CH4" s="12">
        <v>45323</v>
      </c>
      <c r="CI4" s="12">
        <v>45352</v>
      </c>
      <c r="CJ4" s="12">
        <v>45383</v>
      </c>
      <c r="CK4" s="12">
        <v>45413</v>
      </c>
      <c r="CL4" s="12">
        <v>45444</v>
      </c>
      <c r="CM4" s="12">
        <v>45474</v>
      </c>
      <c r="CN4" s="12">
        <v>45505</v>
      </c>
      <c r="CO4" s="12">
        <v>45536</v>
      </c>
      <c r="CP4" s="12">
        <v>45566</v>
      </c>
      <c r="CQ4" s="12">
        <v>45597</v>
      </c>
      <c r="CR4" s="12">
        <v>45627</v>
      </c>
      <c r="CS4" s="12">
        <v>45658</v>
      </c>
      <c r="CT4" s="12">
        <v>45689</v>
      </c>
      <c r="CU4" s="12">
        <v>45717</v>
      </c>
      <c r="CV4" s="12">
        <v>45748</v>
      </c>
      <c r="CW4" s="12">
        <v>45778</v>
      </c>
      <c r="CX4" s="12">
        <v>45809</v>
      </c>
      <c r="CY4" s="12">
        <v>45839</v>
      </c>
      <c r="CZ4" s="12">
        <v>45870</v>
      </c>
      <c r="DA4" s="12">
        <v>45901</v>
      </c>
      <c r="DB4" s="12">
        <v>45931</v>
      </c>
      <c r="DC4" s="12">
        <v>45962</v>
      </c>
      <c r="DD4" s="12">
        <v>45992</v>
      </c>
      <c r="DE4" s="12">
        <v>46023</v>
      </c>
      <c r="DF4" s="12">
        <v>46054</v>
      </c>
      <c r="DG4" s="12">
        <v>46082</v>
      </c>
    </row>
    <row r="5" spans="1:111" x14ac:dyDescent="0.3">
      <c r="A5" s="16" t="s">
        <v>4</v>
      </c>
      <c r="B5" s="17"/>
      <c r="C5" s="18"/>
      <c r="D5" s="17"/>
      <c r="E5" s="19"/>
      <c r="F5" s="19"/>
      <c r="G5" s="19"/>
      <c r="H5" s="20"/>
      <c r="I5" s="21"/>
      <c r="J5" s="21"/>
      <c r="K5" s="21"/>
      <c r="L5" s="21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</row>
    <row r="6" spans="1:111" s="30" customFormat="1" x14ac:dyDescent="0.3">
      <c r="A6" s="24" t="s">
        <v>5</v>
      </c>
      <c r="B6" s="25">
        <v>302845.25938067026</v>
      </c>
      <c r="C6" s="26">
        <v>434881.94467457006</v>
      </c>
      <c r="D6" s="25">
        <v>425856.68932375981</v>
      </c>
      <c r="E6" s="25">
        <v>415532.40463979921</v>
      </c>
      <c r="F6" s="25">
        <v>416858.74701467005</v>
      </c>
      <c r="G6" s="26">
        <v>408805.99374270992</v>
      </c>
      <c r="H6" s="26">
        <v>400018.56889594957</v>
      </c>
      <c r="I6" s="26">
        <v>395093.64013078983</v>
      </c>
      <c r="J6" s="26">
        <v>404564.96529401047</v>
      </c>
      <c r="K6" s="25">
        <v>414884.83009662002</v>
      </c>
      <c r="L6" s="25">
        <v>417701.15069763002</v>
      </c>
      <c r="M6" s="27">
        <v>427057.6257266</v>
      </c>
      <c r="N6" s="27">
        <v>451686.28120784002</v>
      </c>
      <c r="O6" s="27">
        <v>432999.25361012999</v>
      </c>
      <c r="P6" s="28">
        <v>435999.79271731002</v>
      </c>
      <c r="Q6" s="28">
        <v>433414.34610495</v>
      </c>
      <c r="R6" s="28">
        <v>432061.46513522998</v>
      </c>
      <c r="S6" s="28">
        <v>433360.91622478003</v>
      </c>
      <c r="T6" s="28">
        <v>444832.88163511001</v>
      </c>
      <c r="U6" s="28">
        <v>470735.93982148002</v>
      </c>
      <c r="V6" s="28">
        <v>485131.77359336999</v>
      </c>
      <c r="W6" s="28">
        <v>487981.92405204999</v>
      </c>
      <c r="X6" s="28">
        <v>499352.53377420001</v>
      </c>
      <c r="Y6" s="28">
        <v>468628.64156606002</v>
      </c>
      <c r="Z6" s="28">
        <v>468547.70874441997</v>
      </c>
      <c r="AA6" s="28">
        <v>444316.59439192998</v>
      </c>
      <c r="AB6" s="28">
        <v>455484.64819247002</v>
      </c>
      <c r="AC6" s="28">
        <v>444984.29994255002</v>
      </c>
      <c r="AD6" s="28">
        <v>443195.88615947001</v>
      </c>
      <c r="AE6" s="28">
        <v>431646.23934540001</v>
      </c>
      <c r="AF6" s="28">
        <v>411937.90531909</v>
      </c>
      <c r="AG6" s="28">
        <v>411320.20490369998</v>
      </c>
      <c r="AH6" s="28">
        <v>390432.23941441003</v>
      </c>
      <c r="AI6" s="28">
        <v>409131.17580882</v>
      </c>
      <c r="AJ6" s="28">
        <v>394207.06766027003</v>
      </c>
      <c r="AK6" s="28">
        <v>384944.08028594003</v>
      </c>
      <c r="AL6" s="28">
        <v>400434.69007528003</v>
      </c>
      <c r="AM6" s="28">
        <v>391714.29380466999</v>
      </c>
      <c r="AN6" s="28">
        <v>443855.13115923002</v>
      </c>
      <c r="AO6" s="28">
        <v>424230.64554899</v>
      </c>
      <c r="AP6" s="28">
        <v>419832.35957933002</v>
      </c>
      <c r="AQ6" s="28">
        <v>393966.88671782002</v>
      </c>
      <c r="AR6" s="28">
        <v>411254.54511732998</v>
      </c>
      <c r="AS6" s="28">
        <v>412966.83641536999</v>
      </c>
      <c r="AT6" s="28">
        <v>387947.45930923999</v>
      </c>
      <c r="AU6" s="28">
        <v>371143.77929575002</v>
      </c>
      <c r="AV6" s="28">
        <v>350845.01619604998</v>
      </c>
      <c r="AW6" s="28">
        <v>341352.54532208998</v>
      </c>
      <c r="AX6" s="28">
        <v>338646.67918131</v>
      </c>
      <c r="AY6" s="28">
        <v>335171.51432061999</v>
      </c>
      <c r="AZ6" s="28">
        <v>329727.56597982999</v>
      </c>
      <c r="BA6" s="28">
        <v>334348.75134114001</v>
      </c>
      <c r="BB6" s="28">
        <v>319061.74922648002</v>
      </c>
      <c r="BC6" s="28">
        <v>309402.97891628998</v>
      </c>
      <c r="BD6" s="28">
        <v>300940.23226588999</v>
      </c>
      <c r="BE6" s="28">
        <v>305726.77916296001</v>
      </c>
      <c r="BF6" s="28">
        <v>293763.804237</v>
      </c>
      <c r="BG6" s="28">
        <v>299146.81214569998</v>
      </c>
      <c r="BH6" s="28">
        <v>296874.07146945997</v>
      </c>
      <c r="BI6" s="28">
        <v>299916.51876695</v>
      </c>
      <c r="BJ6" s="28">
        <v>316654.71109429997</v>
      </c>
      <c r="BK6" s="28">
        <v>282145.56209973997</v>
      </c>
      <c r="BL6" s="28">
        <v>280032.33181139</v>
      </c>
      <c r="BM6" s="28">
        <v>270749.28769005998</v>
      </c>
      <c r="BN6" s="28">
        <v>264766.69415955001</v>
      </c>
      <c r="BO6" s="28">
        <v>261626.34314981001</v>
      </c>
      <c r="BP6" s="28">
        <v>319641.65035422001</v>
      </c>
      <c r="BQ6" s="28">
        <v>314919.68083647999</v>
      </c>
      <c r="BR6" s="28">
        <v>308535.54140391998</v>
      </c>
      <c r="BS6" s="28">
        <v>304820.95220355003</v>
      </c>
      <c r="BT6" s="28">
        <v>305917.40268887999</v>
      </c>
      <c r="BU6" s="28">
        <v>293810.11568688002</v>
      </c>
      <c r="BV6" s="28">
        <v>292053.69031084998</v>
      </c>
      <c r="BW6" s="28">
        <v>283741.19107368001</v>
      </c>
      <c r="BX6" s="28">
        <v>280519.24504318001</v>
      </c>
      <c r="BY6" s="28">
        <v>279431.52725281997</v>
      </c>
      <c r="BZ6" s="28">
        <v>272240.40118809999</v>
      </c>
      <c r="CA6" s="28">
        <v>270905.77927469002</v>
      </c>
      <c r="CB6" s="28">
        <v>272257.2329148</v>
      </c>
      <c r="CC6" s="28">
        <v>273528.11832636001</v>
      </c>
      <c r="CD6" s="28">
        <v>268764.31402088999</v>
      </c>
      <c r="CE6" s="28">
        <v>269955.86150463001</v>
      </c>
      <c r="CF6" s="28">
        <v>273489.64871227002</v>
      </c>
      <c r="CG6" s="28">
        <v>281031.08578765998</v>
      </c>
      <c r="CH6" s="28">
        <v>275615.50942304998</v>
      </c>
      <c r="CI6" s="28">
        <v>273276.10083160998</v>
      </c>
      <c r="CJ6" s="28">
        <v>277951.06301738002</v>
      </c>
      <c r="CK6" s="28">
        <v>279071.57878903998</v>
      </c>
      <c r="CL6" s="28">
        <v>285888.11603216</v>
      </c>
      <c r="CM6" s="28">
        <v>282748.42381082999</v>
      </c>
      <c r="CN6" s="28">
        <v>289892.26494026999</v>
      </c>
      <c r="CO6" s="28">
        <v>291580.25264730997</v>
      </c>
      <c r="CP6" s="28">
        <v>291580.44903462002</v>
      </c>
      <c r="CQ6" s="28">
        <v>290618.68729241</v>
      </c>
      <c r="CR6" s="28">
        <v>296476.44897258002</v>
      </c>
      <c r="CS6" s="28">
        <v>298660.33808190998</v>
      </c>
      <c r="CT6" s="28">
        <v>288558.98830541002</v>
      </c>
      <c r="CU6" s="28">
        <v>287589.14389763999</v>
      </c>
      <c r="CV6" s="28">
        <v>288154.83392653998</v>
      </c>
      <c r="CW6" s="28">
        <v>296416.73416812002</v>
      </c>
      <c r="CX6" s="28">
        <v>293420.51612816</v>
      </c>
      <c r="CY6" s="28">
        <v>297475.71537385002</v>
      </c>
      <c r="CZ6" s="28">
        <v>298253.70881743002</v>
      </c>
      <c r="DA6" s="28">
        <v>300459.90632512001</v>
      </c>
      <c r="DB6" s="28">
        <v>308660.07031062001</v>
      </c>
      <c r="DC6" s="28">
        <v>324385.66416877002</v>
      </c>
      <c r="DD6" s="28">
        <v>333594.65432844998</v>
      </c>
      <c r="DE6" s="28">
        <v>321537.48310647998</v>
      </c>
      <c r="DF6" s="28">
        <v>323968.57141341001</v>
      </c>
      <c r="DG6" s="28">
        <v>328185.49383453</v>
      </c>
    </row>
    <row r="7" spans="1:111" s="30" customFormat="1" x14ac:dyDescent="0.3">
      <c r="A7" s="31" t="s">
        <v>6</v>
      </c>
      <c r="B7" s="32">
        <v>162619.91775351</v>
      </c>
      <c r="C7" s="25">
        <v>257810.36289673008</v>
      </c>
      <c r="D7" s="32">
        <v>250202.13786304003</v>
      </c>
      <c r="E7" s="32">
        <v>247656.98367684011</v>
      </c>
      <c r="F7" s="32">
        <v>247220.66308871008</v>
      </c>
      <c r="G7" s="25">
        <v>244785.69368926992</v>
      </c>
      <c r="H7" s="25">
        <v>245233.21381926996</v>
      </c>
      <c r="I7" s="25">
        <v>237742.27580050001</v>
      </c>
      <c r="J7" s="26">
        <v>240750.67935521997</v>
      </c>
      <c r="K7" s="32">
        <v>240196.88797067001</v>
      </c>
      <c r="L7" s="32">
        <v>239764.52599893999</v>
      </c>
      <c r="M7" s="29">
        <v>234979.04250581001</v>
      </c>
      <c r="N7" s="29">
        <v>262351.75305866002</v>
      </c>
      <c r="O7" s="29">
        <v>250322.97006965001</v>
      </c>
      <c r="P7" s="27">
        <v>255880.26010476999</v>
      </c>
      <c r="Q7" s="27">
        <v>252364.33633928999</v>
      </c>
      <c r="R7" s="27">
        <v>251990.41432658001</v>
      </c>
      <c r="S7" s="27">
        <v>251356.1639593</v>
      </c>
      <c r="T7" s="27">
        <v>258639.23718669001</v>
      </c>
      <c r="U7" s="27">
        <v>278453.41925173003</v>
      </c>
      <c r="V7" s="27">
        <v>285828.30336013</v>
      </c>
      <c r="W7" s="27">
        <v>283268.04972111998</v>
      </c>
      <c r="X7" s="27">
        <v>289247.26937310997</v>
      </c>
      <c r="Y7" s="27">
        <v>266913.30365999002</v>
      </c>
      <c r="Z7" s="27">
        <v>273234.73198307003</v>
      </c>
      <c r="AA7" s="27">
        <v>253081.37838176001</v>
      </c>
      <c r="AB7" s="27">
        <v>255915.79099667</v>
      </c>
      <c r="AC7" s="27">
        <v>248760.26553539999</v>
      </c>
      <c r="AD7" s="27">
        <v>247744.16179637</v>
      </c>
      <c r="AE7" s="27">
        <v>240130.54131716999</v>
      </c>
      <c r="AF7" s="27">
        <v>230814.92914882</v>
      </c>
      <c r="AG7" s="27">
        <v>230401.51662154999</v>
      </c>
      <c r="AH7" s="27">
        <v>215272.73585701999</v>
      </c>
      <c r="AI7" s="27">
        <v>222955.91431826999</v>
      </c>
      <c r="AJ7" s="27">
        <v>214794.04730621999</v>
      </c>
      <c r="AK7" s="27">
        <v>208714.42247724</v>
      </c>
      <c r="AL7" s="27">
        <v>220292.77110603001</v>
      </c>
      <c r="AM7" s="27">
        <v>216469.05962863</v>
      </c>
      <c r="AN7" s="27">
        <v>247643.62958281001</v>
      </c>
      <c r="AO7" s="27">
        <v>238523.7005334</v>
      </c>
      <c r="AP7" s="27">
        <v>238867.57386857001</v>
      </c>
      <c r="AQ7" s="27">
        <v>213822.07974878</v>
      </c>
      <c r="AR7" s="27">
        <v>222312.49898137999</v>
      </c>
      <c r="AS7" s="27">
        <v>222435.99130828</v>
      </c>
      <c r="AT7" s="27">
        <v>191678.43102526001</v>
      </c>
      <c r="AU7" s="27">
        <v>174850.11769401</v>
      </c>
      <c r="AV7" s="27">
        <v>152510.96259206999</v>
      </c>
      <c r="AW7" s="27">
        <v>146121.10799024001</v>
      </c>
      <c r="AX7" s="27">
        <v>148128.94727434</v>
      </c>
      <c r="AY7" s="27">
        <v>144779.24697261999</v>
      </c>
      <c r="AZ7" s="27">
        <v>143653.06055729999</v>
      </c>
      <c r="BA7" s="27">
        <v>146816.04590836001</v>
      </c>
      <c r="BB7" s="27">
        <v>134134.07014950999</v>
      </c>
      <c r="BC7" s="27">
        <v>127923.40369037</v>
      </c>
      <c r="BD7" s="27">
        <v>121130.11139967</v>
      </c>
      <c r="BE7" s="27">
        <v>120517.77243939</v>
      </c>
      <c r="BF7" s="27">
        <v>105153.35663218</v>
      </c>
      <c r="BG7" s="27">
        <v>104786.89306816</v>
      </c>
      <c r="BH7" s="27">
        <v>89509.847794400004</v>
      </c>
      <c r="BI7" s="27">
        <v>86631.073073370004</v>
      </c>
      <c r="BJ7" s="27">
        <v>91011.406298810005</v>
      </c>
      <c r="BK7" s="27">
        <v>50975.346736170017</v>
      </c>
      <c r="BL7" s="27">
        <v>50682.590356050001</v>
      </c>
      <c r="BM7" s="27">
        <v>53153.240514040001</v>
      </c>
      <c r="BN7" s="27">
        <v>56142.588165009998</v>
      </c>
      <c r="BO7" s="27">
        <v>62381.973165459996</v>
      </c>
      <c r="BP7" s="27">
        <v>78003.508514739995</v>
      </c>
      <c r="BQ7" s="27">
        <v>80049.838506500004</v>
      </c>
      <c r="BR7" s="27">
        <v>86589.347370210002</v>
      </c>
      <c r="BS7" s="27">
        <v>98006.159366129999</v>
      </c>
      <c r="BT7" s="27">
        <v>102135.03171681</v>
      </c>
      <c r="BU7" s="27">
        <v>108377.6692225</v>
      </c>
      <c r="BV7" s="27">
        <v>108726.19222577001</v>
      </c>
      <c r="BW7" s="27">
        <v>107772.79970372999</v>
      </c>
      <c r="BX7" s="27">
        <v>109172.21073432</v>
      </c>
      <c r="BY7" s="27">
        <v>111643.97752898</v>
      </c>
      <c r="BZ7" s="27">
        <v>106406.20607843999</v>
      </c>
      <c r="CA7" s="27">
        <v>106185.69941751999</v>
      </c>
      <c r="CB7" s="27">
        <v>108935.01555714</v>
      </c>
      <c r="CC7" s="27">
        <v>110170.56886494</v>
      </c>
      <c r="CD7" s="27">
        <v>109592.91624062</v>
      </c>
      <c r="CE7" s="27">
        <v>110121.99665538</v>
      </c>
      <c r="CF7" s="27">
        <v>108437.54205344</v>
      </c>
      <c r="CG7" s="27">
        <v>113908.46147636</v>
      </c>
      <c r="CH7" s="27">
        <v>112681.77680819</v>
      </c>
      <c r="CI7" s="27">
        <v>112972.79095816</v>
      </c>
      <c r="CJ7" s="27">
        <v>115313.32278680999</v>
      </c>
      <c r="CK7" s="27">
        <v>115642.65262769999</v>
      </c>
      <c r="CL7" s="27">
        <v>117649.85009691</v>
      </c>
      <c r="CM7" s="27">
        <v>116453.74420025</v>
      </c>
      <c r="CN7" s="27">
        <v>116348.24505853</v>
      </c>
      <c r="CO7" s="27">
        <v>117700.72865326999</v>
      </c>
      <c r="CP7" s="27">
        <v>117502.50580198001</v>
      </c>
      <c r="CQ7" s="27">
        <v>118451.9225682</v>
      </c>
      <c r="CR7" s="27">
        <v>118431.23910599999</v>
      </c>
      <c r="CS7" s="27">
        <v>114676.06134887</v>
      </c>
      <c r="CT7" s="27">
        <v>114633.50843644</v>
      </c>
      <c r="CU7" s="27">
        <v>115097.04635098</v>
      </c>
      <c r="CV7" s="27">
        <v>107921.78276705999</v>
      </c>
      <c r="CW7" s="27">
        <v>109883.66334982</v>
      </c>
      <c r="CX7" s="27">
        <v>109649.27233637001</v>
      </c>
      <c r="CY7" s="27">
        <v>110366.89742523</v>
      </c>
      <c r="CZ7" s="27">
        <v>108444.53989806</v>
      </c>
      <c r="DA7" s="27">
        <v>106764.24434944001</v>
      </c>
      <c r="DB7" s="27">
        <v>104239.85959249</v>
      </c>
      <c r="DC7" s="27">
        <v>105594.46569002001</v>
      </c>
      <c r="DD7" s="27">
        <v>106271.52229634</v>
      </c>
      <c r="DE7" s="27">
        <v>84027.542668630005</v>
      </c>
      <c r="DF7" s="27">
        <v>85179.277269280006</v>
      </c>
      <c r="DG7" s="27">
        <v>85306.371564059998</v>
      </c>
    </row>
    <row r="8" spans="1:111" s="113" customFormat="1" x14ac:dyDescent="0.3">
      <c r="A8" s="107" t="s">
        <v>7</v>
      </c>
      <c r="B8" s="108">
        <f t="shared" ref="B8:I8" si="0">IFERROR(100*(B7/B6),0)</f>
        <v>53.697362833439669</v>
      </c>
      <c r="C8" s="157">
        <f t="shared" si="0"/>
        <v>59.28283895291495</v>
      </c>
      <c r="D8" s="108">
        <f t="shared" si="0"/>
        <v>58.752661196974302</v>
      </c>
      <c r="E8" s="108">
        <f t="shared" si="0"/>
        <v>59.599920706910815</v>
      </c>
      <c r="F8" s="108">
        <f t="shared" si="0"/>
        <v>59.305619675532419</v>
      </c>
      <c r="G8" s="108">
        <f t="shared" si="0"/>
        <v>59.878205661370664</v>
      </c>
      <c r="H8" s="158">
        <f t="shared" si="0"/>
        <v>61.305457518162996</v>
      </c>
      <c r="I8" s="108">
        <f t="shared" si="0"/>
        <v>60.17365294004707</v>
      </c>
      <c r="J8" s="121">
        <v>59.508533859391079</v>
      </c>
      <c r="K8" s="121">
        <v>57.894835035239097</v>
      </c>
      <c r="L8" s="121">
        <v>57.400973303160299</v>
      </c>
      <c r="M8" s="108">
        <v>55.022795133564102</v>
      </c>
      <c r="N8" s="108">
        <v>58.082736619122798</v>
      </c>
      <c r="O8" s="108">
        <v>57.811409138141201</v>
      </c>
      <c r="P8" s="108">
        <v>58.6881609530204</v>
      </c>
      <c r="Q8" s="108">
        <v>58.227038077364597</v>
      </c>
      <c r="R8" s="108">
        <v>58.322816233498202</v>
      </c>
      <c r="S8" s="108">
        <v>58.001576641702499</v>
      </c>
      <c r="T8" s="108">
        <v>58.143012323187001</v>
      </c>
      <c r="U8" s="108">
        <v>59.152785180865799</v>
      </c>
      <c r="V8" s="108">
        <v>58.9176629770094</v>
      </c>
      <c r="W8" s="108">
        <v>58.0488816817128</v>
      </c>
      <c r="X8" s="108">
        <v>57.924462140389103</v>
      </c>
      <c r="Y8" s="108">
        <v>56.956250639743402</v>
      </c>
      <c r="Z8" s="108">
        <v>58.315242372065903</v>
      </c>
      <c r="AA8" s="108">
        <v>56.959695310978603</v>
      </c>
      <c r="AB8" s="108">
        <v>56.185382320180899</v>
      </c>
      <c r="AC8" s="108">
        <v>55.903155587178297</v>
      </c>
      <c r="AD8" s="108">
        <v>55.8994723401442</v>
      </c>
      <c r="AE8" s="108">
        <v>55.631329414877499</v>
      </c>
      <c r="AF8" s="108">
        <v>56.031485854653098</v>
      </c>
      <c r="AG8" s="108">
        <v>56.015122494527702</v>
      </c>
      <c r="AH8" s="108">
        <v>55.137028688997802</v>
      </c>
      <c r="AI8" s="108">
        <v>54.494970684525299</v>
      </c>
      <c r="AJ8" s="108">
        <v>54.487619560218199</v>
      </c>
      <c r="AK8" s="108">
        <v>54.2194134592757</v>
      </c>
      <c r="AL8" s="108">
        <v>55.013408319997403</v>
      </c>
      <c r="AM8" s="108">
        <v>55.261976152591799</v>
      </c>
      <c r="AN8" s="108">
        <v>55.7937967138133</v>
      </c>
      <c r="AO8" s="108">
        <v>56.225004731737499</v>
      </c>
      <c r="AP8" s="108">
        <v>56.895941539121502</v>
      </c>
      <c r="AQ8" s="108">
        <v>54.274124795145703</v>
      </c>
      <c r="AR8" s="108">
        <v>54.057153074856501</v>
      </c>
      <c r="AS8" s="108">
        <v>53.862918688354299</v>
      </c>
      <c r="AT8" s="108">
        <v>49.408348070265298</v>
      </c>
      <c r="AU8" s="108">
        <v>47.111154072362503</v>
      </c>
      <c r="AV8" s="108">
        <v>43.469610669016298</v>
      </c>
      <c r="AW8" s="108">
        <v>42.806508986878796</v>
      </c>
      <c r="AX8" s="108">
        <v>43.741443923928898</v>
      </c>
      <c r="AY8" s="108">
        <v>43.1955702638042</v>
      </c>
      <c r="AZ8" s="108">
        <v>43.567197704691601</v>
      </c>
      <c r="BA8" s="108">
        <v>43.911049561109898</v>
      </c>
      <c r="BB8" s="108">
        <v>42.040160086472</v>
      </c>
      <c r="BC8" s="108">
        <v>41.345239835257097</v>
      </c>
      <c r="BD8" s="108">
        <v>40.250554233854601</v>
      </c>
      <c r="BE8" s="108">
        <v>39.4200903072187</v>
      </c>
      <c r="BF8" s="108">
        <v>35.795205234796498</v>
      </c>
      <c r="BG8" s="108">
        <v>35.028584231452001</v>
      </c>
      <c r="BH8" s="108">
        <v>30.1507798748966</v>
      </c>
      <c r="BI8" s="108">
        <v>28.8850622264946</v>
      </c>
      <c r="BJ8" s="108">
        <v>28.741529214674099</v>
      </c>
      <c r="BK8" s="108">
        <v>18.06703828931747</v>
      </c>
      <c r="BL8" s="108">
        <v>18.098835240991502</v>
      </c>
      <c r="BM8" s="108">
        <v>19.631904101216701</v>
      </c>
      <c r="BN8" s="108">
        <v>21.204550800176602</v>
      </c>
      <c r="BO8" s="108">
        <v>23.843918932024099</v>
      </c>
      <c r="BP8" s="108">
        <v>24.403424406142999</v>
      </c>
      <c r="BQ8" s="108">
        <v>25.4191285517228</v>
      </c>
      <c r="BR8" s="108">
        <v>28.064626517971</v>
      </c>
      <c r="BS8" s="108">
        <v>32.1520416026666</v>
      </c>
      <c r="BT8" s="108">
        <v>33.386473217635803</v>
      </c>
      <c r="BU8" s="108">
        <v>36.8869768044339</v>
      </c>
      <c r="BV8" s="108">
        <v>37.228152162722701</v>
      </c>
      <c r="BW8" s="108">
        <v>37.982782582929303</v>
      </c>
      <c r="BX8" s="108">
        <v>38.917904088012001</v>
      </c>
      <c r="BY8" s="108">
        <v>39.953966049066601</v>
      </c>
      <c r="BZ8" s="108">
        <v>39.085383952589901</v>
      </c>
      <c r="CA8" s="108">
        <v>39.196542687947201</v>
      </c>
      <c r="CB8" s="108">
        <v>40.011798544661602</v>
      </c>
      <c r="CC8" s="108">
        <v>40.277602733876897</v>
      </c>
      <c r="CD8" s="108">
        <v>40.776587710264899</v>
      </c>
      <c r="CE8" s="108">
        <v>40.792593293437797</v>
      </c>
      <c r="CF8" s="108">
        <v>39.649596452377502</v>
      </c>
      <c r="CG8" s="108">
        <v>40.532335117698103</v>
      </c>
      <c r="CH8" s="108">
        <v>40.883685045180698</v>
      </c>
      <c r="CI8" s="108">
        <v>41.340164988585201</v>
      </c>
      <c r="CJ8" s="108">
        <v>41.486915550885897</v>
      </c>
      <c r="CK8" s="108">
        <v>41.438348229333101</v>
      </c>
      <c r="CL8" s="108">
        <v>41.152410156033</v>
      </c>
      <c r="CM8" s="110">
        <v>41.186346021211499</v>
      </c>
      <c r="CN8" s="110">
        <v>40.134994661724598</v>
      </c>
      <c r="CO8" s="110">
        <v>40.366495187737797</v>
      </c>
      <c r="CP8" s="110">
        <v>40.298485783602302</v>
      </c>
      <c r="CQ8" s="110">
        <v>40.758536098202804</v>
      </c>
      <c r="CR8" s="110">
        <v>39.946255264597198</v>
      </c>
      <c r="CS8" s="110">
        <v>38.396816291495398</v>
      </c>
      <c r="CT8" s="110">
        <v>39.726195711190996</v>
      </c>
      <c r="CU8" s="110">
        <v>40.021346004613399</v>
      </c>
      <c r="CV8" s="110">
        <v>37.452705997142097</v>
      </c>
      <c r="CW8" s="110">
        <v>37.070667976355502</v>
      </c>
      <c r="CX8" s="110">
        <v>37.369327061123897</v>
      </c>
      <c r="CY8" s="110">
        <v>37.1011453108121</v>
      </c>
      <c r="CZ8" s="110">
        <v>36.359829464666298</v>
      </c>
      <c r="DA8" s="110">
        <v>35.533607680058701</v>
      </c>
      <c r="DB8" s="110">
        <v>33.771734545251697</v>
      </c>
      <c r="DC8" s="110">
        <v>32.552136963451602</v>
      </c>
      <c r="DD8" s="110">
        <v>31.856482385867999</v>
      </c>
      <c r="DE8" s="110">
        <v>26.1330473376889</v>
      </c>
      <c r="DF8" s="110">
        <v>26.292450807082901</v>
      </c>
      <c r="DG8" s="110">
        <v>25.993340097801902</v>
      </c>
    </row>
    <row r="9" spans="1:111" s="30" customFormat="1" ht="28.8" x14ac:dyDescent="0.3">
      <c r="A9" s="24" t="s">
        <v>8</v>
      </c>
      <c r="B9" s="25">
        <v>84056.214215519998</v>
      </c>
      <c r="C9" s="41">
        <v>84373.215280600009</v>
      </c>
      <c r="D9" s="25">
        <v>81876.167234530003</v>
      </c>
      <c r="E9" s="25">
        <v>79882.875424719969</v>
      </c>
      <c r="F9" s="25">
        <v>78155.050353619969</v>
      </c>
      <c r="G9" s="25">
        <v>76139.036953600065</v>
      </c>
      <c r="H9" s="25">
        <v>74473.041372880078</v>
      </c>
      <c r="I9" s="25">
        <v>72425.306032469976</v>
      </c>
      <c r="J9" s="19">
        <v>73067.517290769989</v>
      </c>
      <c r="K9" s="19">
        <v>72968.052813029994</v>
      </c>
      <c r="L9" s="19">
        <v>66878.998898880003</v>
      </c>
      <c r="M9" s="42">
        <v>68612.107347130004</v>
      </c>
      <c r="N9" s="42">
        <v>76265.148294819999</v>
      </c>
      <c r="O9" s="42">
        <v>72865.668242590007</v>
      </c>
      <c r="P9" s="42">
        <v>71706.972434630006</v>
      </c>
      <c r="Q9" s="43">
        <v>70867.932171260007</v>
      </c>
      <c r="R9" s="43">
        <v>69929.58645278</v>
      </c>
      <c r="S9" s="43">
        <v>69189.288797739995</v>
      </c>
      <c r="T9" s="43">
        <v>69518.893096340005</v>
      </c>
      <c r="U9" s="43">
        <v>72991.35285399</v>
      </c>
      <c r="V9" s="43">
        <v>72120.570369220004</v>
      </c>
      <c r="W9" s="43">
        <v>70098.428301489999</v>
      </c>
      <c r="X9" s="43">
        <v>70189.406013889995</v>
      </c>
      <c r="Y9" s="43">
        <v>61816.716723450001</v>
      </c>
      <c r="Z9" s="43">
        <v>61783.486527579997</v>
      </c>
      <c r="AA9" s="43">
        <v>59533.096223890003</v>
      </c>
      <c r="AB9" s="43">
        <v>59679.364694360003</v>
      </c>
      <c r="AC9" s="43">
        <v>55722.244613180002</v>
      </c>
      <c r="AD9" s="43">
        <v>55292.366762019999</v>
      </c>
      <c r="AE9" s="43">
        <v>53187.993271790001</v>
      </c>
      <c r="AF9" s="43">
        <v>50668.278435100001</v>
      </c>
      <c r="AG9" s="43">
        <v>50538.816099650001</v>
      </c>
      <c r="AH9" s="43">
        <v>46370.337711510001</v>
      </c>
      <c r="AI9" s="43">
        <v>47591.646404320003</v>
      </c>
      <c r="AJ9" s="43">
        <v>45148.686053719997</v>
      </c>
      <c r="AK9" s="43">
        <v>39594.571348040001</v>
      </c>
      <c r="AL9" s="43">
        <v>41546.985182539996</v>
      </c>
      <c r="AM9" s="43">
        <v>40846.78713027</v>
      </c>
      <c r="AN9" s="43">
        <v>46463.783043000003</v>
      </c>
      <c r="AO9" s="43">
        <v>44277.875817810003</v>
      </c>
      <c r="AP9" s="43">
        <v>44313.620514310001</v>
      </c>
      <c r="AQ9" s="43">
        <v>43524.716453840003</v>
      </c>
      <c r="AR9" s="43">
        <v>44716.430345710003</v>
      </c>
      <c r="AS9" s="43">
        <v>44204.962295550002</v>
      </c>
      <c r="AT9" s="43">
        <v>44050.065563080003</v>
      </c>
      <c r="AU9" s="43">
        <v>39844.869521339999</v>
      </c>
      <c r="AV9" s="43">
        <v>37854.781400120002</v>
      </c>
      <c r="AW9" s="43">
        <v>34405.047379310003</v>
      </c>
      <c r="AX9" s="43">
        <v>34216.021398999997</v>
      </c>
      <c r="AY9" s="43">
        <v>32522.914949329999</v>
      </c>
      <c r="AZ9" s="43">
        <v>31752.568550889999</v>
      </c>
      <c r="BA9" s="43">
        <v>31630.037356569999</v>
      </c>
      <c r="BB9" s="43">
        <v>30870.121647430002</v>
      </c>
      <c r="BC9" s="43">
        <v>29814.339641319999</v>
      </c>
      <c r="BD9" s="43">
        <v>28640.050490329999</v>
      </c>
      <c r="BE9" s="43">
        <v>26448.297144259999</v>
      </c>
      <c r="BF9" s="43">
        <v>25525.287433490001</v>
      </c>
      <c r="BG9" s="43">
        <v>23782.66007632</v>
      </c>
      <c r="BH9" s="43">
        <v>23849.271854710001</v>
      </c>
      <c r="BI9" s="43">
        <v>23327.577885809998</v>
      </c>
      <c r="BJ9" s="43">
        <v>24255.04645785</v>
      </c>
      <c r="BK9" s="43">
        <v>22728.553609070008</v>
      </c>
      <c r="BL9" s="43">
        <v>23710.622605</v>
      </c>
      <c r="BM9" s="43">
        <v>22481.047914999999</v>
      </c>
      <c r="BN9" s="43">
        <v>22467.210363390001</v>
      </c>
      <c r="BO9" s="43">
        <v>21102.994029410002</v>
      </c>
      <c r="BP9" s="43">
        <v>25862.623950230001</v>
      </c>
      <c r="BQ9" s="43">
        <v>25704.349180159999</v>
      </c>
      <c r="BR9" s="43">
        <v>25235.099642230001</v>
      </c>
      <c r="BS9" s="43">
        <v>25078.989787300001</v>
      </c>
      <c r="BT9" s="43">
        <v>24901.972161959999</v>
      </c>
      <c r="BU9" s="43">
        <v>15421.816949010001</v>
      </c>
      <c r="BV9" s="43">
        <v>15373.63671674</v>
      </c>
      <c r="BW9" s="43">
        <v>15167.62806388</v>
      </c>
      <c r="BX9" s="43">
        <v>15147.695903809999</v>
      </c>
      <c r="BY9" s="43">
        <v>15130.666393850001</v>
      </c>
      <c r="BZ9" s="43">
        <v>15166.178275550001</v>
      </c>
      <c r="CA9" s="43">
        <v>15146.40430287</v>
      </c>
      <c r="CB9" s="43">
        <v>15102.956634530001</v>
      </c>
      <c r="CC9" s="43">
        <v>15030.78643785</v>
      </c>
      <c r="CD9" s="43">
        <v>14962.10671405</v>
      </c>
      <c r="CE9" s="43">
        <v>14780.00358744</v>
      </c>
      <c r="CF9" s="43">
        <v>14725.451924929999</v>
      </c>
      <c r="CG9" s="43">
        <v>13770.95256496</v>
      </c>
      <c r="CH9" s="43">
        <v>13590.800656150001</v>
      </c>
      <c r="CI9" s="43">
        <v>13720.12940286</v>
      </c>
      <c r="CJ9" s="43">
        <v>14044.274706190001</v>
      </c>
      <c r="CK9" s="43">
        <v>14202.84162804</v>
      </c>
      <c r="CL9" s="43">
        <v>14365.3275323</v>
      </c>
      <c r="CM9" s="43">
        <v>14212.99354956</v>
      </c>
      <c r="CN9" s="43">
        <v>14437.793697339999</v>
      </c>
      <c r="CO9" s="43">
        <v>14509.256901119999</v>
      </c>
      <c r="CP9" s="43">
        <v>14475.941558390001</v>
      </c>
      <c r="CQ9" s="43">
        <v>13351.191310419999</v>
      </c>
      <c r="CR9" s="43">
        <v>13346.280214230001</v>
      </c>
      <c r="CS9" s="43">
        <v>12962.088448259999</v>
      </c>
      <c r="CT9" s="43">
        <v>12882.97426291</v>
      </c>
      <c r="CU9" s="43">
        <v>12775.57316213</v>
      </c>
      <c r="CV9" s="43">
        <v>11693.40658261</v>
      </c>
      <c r="CW9" s="43">
        <v>11805.740979329999</v>
      </c>
      <c r="CX9" s="43">
        <v>11846.08895392</v>
      </c>
      <c r="CY9" s="43">
        <v>11902.62334957</v>
      </c>
      <c r="CZ9" s="43">
        <v>11875.57523129</v>
      </c>
      <c r="DA9" s="43">
        <v>11708.029283440001</v>
      </c>
      <c r="DB9" s="43">
        <v>11669.48991973</v>
      </c>
      <c r="DC9" s="43">
        <v>11713.750417949999</v>
      </c>
      <c r="DD9" s="43">
        <v>11768.030240350001</v>
      </c>
      <c r="DE9" s="43">
        <v>11541.634760409999</v>
      </c>
      <c r="DF9" s="43">
        <v>11686.99830598</v>
      </c>
      <c r="DG9" s="43">
        <v>11891.186235859999</v>
      </c>
    </row>
    <row r="10" spans="1:111" s="30" customFormat="1" x14ac:dyDescent="0.3">
      <c r="A10" s="31" t="s">
        <v>6</v>
      </c>
      <c r="B10" s="25">
        <v>78832.099325370044</v>
      </c>
      <c r="C10" s="41">
        <v>79541.121641649981</v>
      </c>
      <c r="D10" s="25">
        <v>77237.902372450015</v>
      </c>
      <c r="E10" s="25">
        <v>75575.743768540007</v>
      </c>
      <c r="F10" s="25">
        <v>74027.15676873998</v>
      </c>
      <c r="G10" s="25">
        <v>72373.827364910016</v>
      </c>
      <c r="H10" s="25">
        <v>70940.118774420014</v>
      </c>
      <c r="I10" s="25">
        <v>69093.829416170018</v>
      </c>
      <c r="J10" s="26">
        <v>69702.288796590001</v>
      </c>
      <c r="K10" s="25">
        <v>69752.279750200003</v>
      </c>
      <c r="L10" s="25">
        <v>63836.094036659997</v>
      </c>
      <c r="M10" s="27">
        <v>65579.505515319994</v>
      </c>
      <c r="N10" s="27">
        <v>73228.566655019997</v>
      </c>
      <c r="O10" s="27">
        <v>69957.27506996</v>
      </c>
      <c r="P10" s="27">
        <v>68914.501123800001</v>
      </c>
      <c r="Q10" s="29">
        <v>68217.020606749997</v>
      </c>
      <c r="R10" s="29">
        <v>67378.315047419994</v>
      </c>
      <c r="S10" s="29">
        <v>66693.297267469999</v>
      </c>
      <c r="T10" s="29">
        <v>67062.747762319996</v>
      </c>
      <c r="U10" s="29">
        <v>70427.338236950003</v>
      </c>
      <c r="V10" s="29">
        <v>69533.255938150003</v>
      </c>
      <c r="W10" s="29">
        <v>67546.702847530003</v>
      </c>
      <c r="X10" s="29">
        <v>67793.008310549994</v>
      </c>
      <c r="Y10" s="29">
        <v>59626.349786359999</v>
      </c>
      <c r="Z10" s="29">
        <v>59622.513941040001</v>
      </c>
      <c r="AA10" s="29">
        <v>57512.893728939998</v>
      </c>
      <c r="AB10" s="29">
        <v>57650.894573190002</v>
      </c>
      <c r="AC10" s="29">
        <v>53683.928239480003</v>
      </c>
      <c r="AD10" s="29">
        <v>53246.115444770003</v>
      </c>
      <c r="AE10" s="29">
        <v>51251.049016110002</v>
      </c>
      <c r="AF10" s="29">
        <v>48854.356746079997</v>
      </c>
      <c r="AG10" s="29">
        <v>48766.531516870004</v>
      </c>
      <c r="AH10" s="29">
        <v>44796.486518190002</v>
      </c>
      <c r="AI10" s="29">
        <v>46092.920100880001</v>
      </c>
      <c r="AJ10" s="29">
        <v>43747.699816580003</v>
      </c>
      <c r="AK10" s="29">
        <v>38239.472353030003</v>
      </c>
      <c r="AL10" s="29">
        <v>40150.187972090003</v>
      </c>
      <c r="AM10" s="29">
        <v>39479.054744460002</v>
      </c>
      <c r="AN10" s="29">
        <v>44969.390070349997</v>
      </c>
      <c r="AO10" s="29">
        <v>42858.163892830002</v>
      </c>
      <c r="AP10" s="29">
        <v>42935.393740320003</v>
      </c>
      <c r="AQ10" s="29">
        <v>42224.707421359999</v>
      </c>
      <c r="AR10" s="29">
        <v>43412.532146379999</v>
      </c>
      <c r="AS10" s="29">
        <v>42936.97416944</v>
      </c>
      <c r="AT10" s="29">
        <v>42790.388074889997</v>
      </c>
      <c r="AU10" s="29">
        <v>38609.857342789997</v>
      </c>
      <c r="AV10" s="29">
        <v>36576.115928719999</v>
      </c>
      <c r="AW10" s="29">
        <v>33194.166652499996</v>
      </c>
      <c r="AX10" s="29">
        <v>33001.582167770001</v>
      </c>
      <c r="AY10" s="29">
        <v>31333.015954310002</v>
      </c>
      <c r="AZ10" s="29">
        <v>30549.946748599999</v>
      </c>
      <c r="BA10" s="29">
        <v>30477.928373459999</v>
      </c>
      <c r="BB10" s="29">
        <v>29711.354103139998</v>
      </c>
      <c r="BC10" s="29">
        <v>28700.341554459999</v>
      </c>
      <c r="BD10" s="29">
        <v>27570.9271491</v>
      </c>
      <c r="BE10" s="29">
        <v>25390.990329820001</v>
      </c>
      <c r="BF10" s="29">
        <v>24484.716291659999</v>
      </c>
      <c r="BG10" s="29">
        <v>22749.285394990002</v>
      </c>
      <c r="BH10" s="29">
        <v>22745.55545136</v>
      </c>
      <c r="BI10" s="29">
        <v>22243.237200340001</v>
      </c>
      <c r="BJ10" s="29">
        <v>23081.59232059</v>
      </c>
      <c r="BK10" s="29">
        <v>21521.784536710005</v>
      </c>
      <c r="BL10" s="29">
        <v>21444.9404626</v>
      </c>
      <c r="BM10" s="29">
        <v>21263.638272079999</v>
      </c>
      <c r="BN10" s="29">
        <v>21369.008649380001</v>
      </c>
      <c r="BO10" s="29">
        <v>20161.085301250001</v>
      </c>
      <c r="BP10" s="29">
        <v>24779.41618996</v>
      </c>
      <c r="BQ10" s="29">
        <v>24644.00862859</v>
      </c>
      <c r="BR10" s="29">
        <v>24358.426279619998</v>
      </c>
      <c r="BS10" s="29">
        <v>24248.948720609998</v>
      </c>
      <c r="BT10" s="29">
        <v>24195.514800069999</v>
      </c>
      <c r="BU10" s="29">
        <v>14665.288535240001</v>
      </c>
      <c r="BV10" s="29">
        <v>14734.031383039999</v>
      </c>
      <c r="BW10" s="29">
        <v>14530.00601431</v>
      </c>
      <c r="BX10" s="29">
        <v>14546.608545360001</v>
      </c>
      <c r="BY10" s="29">
        <v>14483.313745580001</v>
      </c>
      <c r="BZ10" s="29">
        <v>14438.958114360001</v>
      </c>
      <c r="CA10" s="29">
        <v>14379.47925319</v>
      </c>
      <c r="CB10" s="29">
        <v>14394.14223116</v>
      </c>
      <c r="CC10" s="29">
        <v>14334.228837549999</v>
      </c>
      <c r="CD10" s="29">
        <v>14268.767031969999</v>
      </c>
      <c r="CE10" s="29">
        <v>14102.485295480001</v>
      </c>
      <c r="CF10" s="29">
        <v>14051.31017759</v>
      </c>
      <c r="CG10" s="29">
        <v>13102.252769840001</v>
      </c>
      <c r="CH10" s="29">
        <v>12931.9321948</v>
      </c>
      <c r="CI10" s="29">
        <v>13039.80437914</v>
      </c>
      <c r="CJ10" s="29">
        <v>13326.19831763</v>
      </c>
      <c r="CK10" s="29">
        <v>13484.613333449999</v>
      </c>
      <c r="CL10" s="29">
        <v>13652.738495719999</v>
      </c>
      <c r="CM10" s="29">
        <v>13542.16655005</v>
      </c>
      <c r="CN10" s="29">
        <v>13719.84349655</v>
      </c>
      <c r="CO10" s="29">
        <v>13805.60691991</v>
      </c>
      <c r="CP10" s="29">
        <v>13772.04269437</v>
      </c>
      <c r="CQ10" s="29">
        <v>12656.586473249999</v>
      </c>
      <c r="CR10" s="29">
        <v>12715.24992556</v>
      </c>
      <c r="CS10" s="29">
        <v>12381.628287019999</v>
      </c>
      <c r="CT10" s="29">
        <v>12314.487585319999</v>
      </c>
      <c r="CU10" s="29">
        <v>12195.04268475</v>
      </c>
      <c r="CV10" s="29">
        <v>11126.51495422</v>
      </c>
      <c r="CW10" s="29">
        <v>11239.092029019999</v>
      </c>
      <c r="CX10" s="29">
        <v>11238.42572621</v>
      </c>
      <c r="CY10" s="29">
        <v>11267.249824009999</v>
      </c>
      <c r="CZ10" s="29">
        <v>11263.018138900001</v>
      </c>
      <c r="DA10" s="29">
        <v>11064.817732240001</v>
      </c>
      <c r="DB10" s="29">
        <v>11039.98860966</v>
      </c>
      <c r="DC10" s="29">
        <v>11120.828332040001</v>
      </c>
      <c r="DD10" s="29">
        <v>11210.84106635</v>
      </c>
      <c r="DE10" s="29">
        <v>11022.111118749999</v>
      </c>
      <c r="DF10" s="29">
        <v>11181.98856297</v>
      </c>
      <c r="DG10" s="29">
        <v>11274.84968664</v>
      </c>
    </row>
    <row r="11" spans="1:111" s="113" customFormat="1" x14ac:dyDescent="0.3">
      <c r="A11" s="107" t="s">
        <v>7</v>
      </c>
      <c r="B11" s="108">
        <f t="shared" ref="B11:I11" si="1">IFERROR(100*(B10/B9),0)</f>
        <v>93.784974806555837</v>
      </c>
      <c r="C11" s="157">
        <f t="shared" si="1"/>
        <v>94.272953065875313</v>
      </c>
      <c r="D11" s="108">
        <f t="shared" si="1"/>
        <v>94.335024441491115</v>
      </c>
      <c r="E11" s="108">
        <f t="shared" si="1"/>
        <v>94.608191513788313</v>
      </c>
      <c r="F11" s="108">
        <f t="shared" si="1"/>
        <v>94.718327777663831</v>
      </c>
      <c r="G11" s="108">
        <f t="shared" si="1"/>
        <v>95.054823728615574</v>
      </c>
      <c r="H11" s="108">
        <f t="shared" si="1"/>
        <v>95.256105386147681</v>
      </c>
      <c r="I11" s="108">
        <f t="shared" si="1"/>
        <v>95.400120760544141</v>
      </c>
      <c r="J11" s="109">
        <v>95.394357685935645</v>
      </c>
      <c r="K11" s="108">
        <v>95.592902730911703</v>
      </c>
      <c r="L11" s="108">
        <v>95.450133954874502</v>
      </c>
      <c r="M11" s="108">
        <v>95.580077701932197</v>
      </c>
      <c r="N11" s="108">
        <v>96.018388860844496</v>
      </c>
      <c r="O11" s="108">
        <v>96.008554861602093</v>
      </c>
      <c r="P11" s="108">
        <v>96.105718570985999</v>
      </c>
      <c r="Q11" s="109">
        <v>96.259363744233696</v>
      </c>
      <c r="R11" s="109">
        <v>96.351656666691795</v>
      </c>
      <c r="S11" s="109">
        <v>96.392517434936394</v>
      </c>
      <c r="T11" s="109">
        <v>96.466938375131704</v>
      </c>
      <c r="U11" s="109">
        <v>96.4872351082888</v>
      </c>
      <c r="V11" s="109">
        <v>96.412515295117203</v>
      </c>
      <c r="W11" s="109">
        <v>96.359796480763904</v>
      </c>
      <c r="X11" s="109">
        <v>96.585812817869197</v>
      </c>
      <c r="Y11" s="109">
        <v>96.456675389459704</v>
      </c>
      <c r="Z11" s="109">
        <v>96.502346002154894</v>
      </c>
      <c r="AA11" s="109">
        <v>96.606589236762503</v>
      </c>
      <c r="AB11" s="109">
        <v>96.601052756579193</v>
      </c>
      <c r="AC11" s="109">
        <v>96.342005983696694</v>
      </c>
      <c r="AD11" s="109">
        <v>96.299215538996293</v>
      </c>
      <c r="AE11" s="109">
        <v>96.358305443519498</v>
      </c>
      <c r="AF11" s="109">
        <v>96.420005287246099</v>
      </c>
      <c r="AG11" s="109">
        <v>96.493221013951896</v>
      </c>
      <c r="AH11" s="109">
        <v>96.605909572814397</v>
      </c>
      <c r="AI11" s="109">
        <v>96.850862668823396</v>
      </c>
      <c r="AJ11" s="109">
        <v>96.896950144965302</v>
      </c>
      <c r="AK11" s="109">
        <v>96.577563668770296</v>
      </c>
      <c r="AL11" s="109">
        <v>96.638029921273301</v>
      </c>
      <c r="AM11" s="109">
        <v>96.651554548346795</v>
      </c>
      <c r="AN11" s="109">
        <v>96.783746662928806</v>
      </c>
      <c r="AO11" s="109">
        <v>96.793631359323399</v>
      </c>
      <c r="AP11" s="109">
        <v>96.889834867938802</v>
      </c>
      <c r="AQ11" s="109">
        <v>97.013170588121497</v>
      </c>
      <c r="AR11" s="109">
        <v>97.084073596104702</v>
      </c>
      <c r="AS11" s="109">
        <v>97.131570619532795</v>
      </c>
      <c r="AT11" s="109">
        <v>97.140350480554602</v>
      </c>
      <c r="AU11" s="109">
        <v>96.900448681633705</v>
      </c>
      <c r="AV11" s="109">
        <v>96.6221823925367</v>
      </c>
      <c r="AW11" s="109">
        <v>96.480514287743205</v>
      </c>
      <c r="AX11" s="109">
        <v>96.450670821518997</v>
      </c>
      <c r="AY11" s="109">
        <v>96.341351945624098</v>
      </c>
      <c r="AZ11" s="109">
        <v>96.212521200095793</v>
      </c>
      <c r="BA11" s="109">
        <v>96.357547826699999</v>
      </c>
      <c r="BB11" s="109">
        <v>96.2463136442273</v>
      </c>
      <c r="BC11" s="109">
        <v>96.263549351547297</v>
      </c>
      <c r="BD11" s="109">
        <v>96.267034020799002</v>
      </c>
      <c r="BE11" s="109">
        <v>96.002363370794697</v>
      </c>
      <c r="BF11" s="109">
        <v>95.923371501530099</v>
      </c>
      <c r="BG11" s="109">
        <v>95.6549238898683</v>
      </c>
      <c r="BH11" s="109">
        <v>95.3721169766782</v>
      </c>
      <c r="BI11" s="109">
        <v>95.351679069391906</v>
      </c>
      <c r="BJ11" s="109">
        <v>95.162020657024101</v>
      </c>
      <c r="BK11" s="109">
        <v>94.690515317796411</v>
      </c>
      <c r="BL11" s="109">
        <v>90.444442644360507</v>
      </c>
      <c r="BM11" s="109">
        <v>94.584729112615307</v>
      </c>
      <c r="BN11" s="109">
        <v>95.111980097896307</v>
      </c>
      <c r="BO11" s="109">
        <v>95.536610933750396</v>
      </c>
      <c r="BP11" s="109">
        <v>95.811686539020499</v>
      </c>
      <c r="BQ11" s="109">
        <v>95.874859370536299</v>
      </c>
      <c r="BR11" s="109">
        <v>96.525976219475993</v>
      </c>
      <c r="BS11" s="109">
        <v>96.690293055143997</v>
      </c>
      <c r="BT11" s="109">
        <v>97.163046535851606</v>
      </c>
      <c r="BU11" s="109">
        <v>95.094427483665797</v>
      </c>
      <c r="BV11" s="109">
        <v>95.839596411150097</v>
      </c>
      <c r="BW11" s="109">
        <v>95.796165050431199</v>
      </c>
      <c r="BX11" s="109">
        <v>96.0318231745145</v>
      </c>
      <c r="BY11" s="109">
        <v>95.721585345817104</v>
      </c>
      <c r="BZ11" s="109">
        <v>95.204987387215496</v>
      </c>
      <c r="CA11" s="109">
        <v>94.936586701738307</v>
      </c>
      <c r="CB11" s="109">
        <v>95.306783827019402</v>
      </c>
      <c r="CC11" s="109">
        <v>95.365794044242705</v>
      </c>
      <c r="CD11" s="109">
        <v>95.366029026988997</v>
      </c>
      <c r="CE11" s="109">
        <v>95.415980192753395</v>
      </c>
      <c r="CF11" s="109">
        <v>95.421928299540397</v>
      </c>
      <c r="CG11" s="109">
        <v>95.144128251363696</v>
      </c>
      <c r="CH11" s="109">
        <v>95.1520997326095</v>
      </c>
      <c r="CI11" s="109">
        <v>95.041409568788893</v>
      </c>
      <c r="CJ11" s="109">
        <v>94.887052527934998</v>
      </c>
      <c r="CK11" s="109">
        <v>94.943066229985703</v>
      </c>
      <c r="CL11" s="109">
        <v>95.039521131851899</v>
      </c>
      <c r="CM11" s="111">
        <v>95.280185014009504</v>
      </c>
      <c r="CN11" s="111">
        <v>95.027285914729006</v>
      </c>
      <c r="CO11" s="111">
        <v>95.150337567214194</v>
      </c>
      <c r="CP11" s="111">
        <v>95.137457130641494</v>
      </c>
      <c r="CQ11" s="111">
        <v>94.797431772040497</v>
      </c>
      <c r="CR11" s="111">
        <v>95.271863931066093</v>
      </c>
      <c r="CS11" s="111">
        <v>95.521862363792806</v>
      </c>
      <c r="CT11" s="111">
        <v>95.587302543740407</v>
      </c>
      <c r="CU11" s="111">
        <v>95.455933992058903</v>
      </c>
      <c r="CV11" s="111">
        <v>95.152040388016104</v>
      </c>
      <c r="CW11" s="111">
        <v>95.200225455546502</v>
      </c>
      <c r="CX11" s="111">
        <v>94.870347250693897</v>
      </c>
      <c r="CY11" s="111">
        <v>94.661903456913507</v>
      </c>
      <c r="CZ11" s="111">
        <v>94.841874347475596</v>
      </c>
      <c r="DA11" s="111">
        <v>94.506235544612395</v>
      </c>
      <c r="DB11" s="111">
        <v>94.605579897663901</v>
      </c>
      <c r="DC11" s="111">
        <v>94.938238695939603</v>
      </c>
      <c r="DD11" s="111">
        <v>95.265229927014303</v>
      </c>
      <c r="DE11" s="111">
        <v>95.498699686442507</v>
      </c>
      <c r="DF11" s="111">
        <v>95.678875535118394</v>
      </c>
      <c r="DG11" s="111">
        <v>94.816862363476204</v>
      </c>
    </row>
    <row r="12" spans="1:111" s="30" customFormat="1" ht="28.8" x14ac:dyDescent="0.3">
      <c r="A12" s="24" t="s">
        <v>9</v>
      </c>
      <c r="B12" s="25">
        <v>7536.7439172699997</v>
      </c>
      <c r="C12" s="41">
        <v>7958.7236048600007</v>
      </c>
      <c r="D12" s="25">
        <v>11018.496463800004</v>
      </c>
      <c r="E12" s="25">
        <v>13096.128944249998</v>
      </c>
      <c r="F12" s="25">
        <v>9778.0898529999995</v>
      </c>
      <c r="G12" s="25">
        <v>10668.052719019999</v>
      </c>
      <c r="H12" s="25">
        <v>14006.869217210002</v>
      </c>
      <c r="I12" s="25">
        <v>14654.638588469999</v>
      </c>
      <c r="J12" s="25">
        <v>16143.269644740001</v>
      </c>
      <c r="K12" s="25">
        <v>14488.12792988</v>
      </c>
      <c r="L12" s="25">
        <v>16372.806236980001</v>
      </c>
      <c r="M12" s="42">
        <v>19508.33591134</v>
      </c>
      <c r="N12" s="27">
        <v>17391.766084300001</v>
      </c>
      <c r="O12" s="42">
        <v>19084.80225397</v>
      </c>
      <c r="P12" s="42">
        <v>18199.07422223</v>
      </c>
      <c r="Q12" s="42">
        <v>17740.580386270001</v>
      </c>
      <c r="R12" s="42">
        <v>17025.351675819998</v>
      </c>
      <c r="S12" s="42">
        <v>19371.019037130001</v>
      </c>
      <c r="T12" s="42">
        <v>21120.35072459</v>
      </c>
      <c r="U12" s="42">
        <v>22706.08327902</v>
      </c>
      <c r="V12" s="42">
        <v>28082.382759150001</v>
      </c>
      <c r="W12" s="42">
        <v>25299.453642709999</v>
      </c>
      <c r="X12" s="42">
        <v>21556.068445649998</v>
      </c>
      <c r="Y12" s="42">
        <v>24372.124870219999</v>
      </c>
      <c r="Z12" s="42">
        <v>32165.84282953</v>
      </c>
      <c r="AA12" s="42">
        <v>28234.058405510001</v>
      </c>
      <c r="AB12" s="42">
        <v>29369.72095427</v>
      </c>
      <c r="AC12" s="42">
        <v>21908.826377189998</v>
      </c>
      <c r="AD12" s="42">
        <v>22321.404812829998</v>
      </c>
      <c r="AE12" s="42">
        <v>24918.981768509999</v>
      </c>
      <c r="AF12" s="42">
        <v>34322.421499229997</v>
      </c>
      <c r="AG12" s="42">
        <v>37730.755706229997</v>
      </c>
      <c r="AH12" s="42">
        <v>32143.2983786</v>
      </c>
      <c r="AI12" s="42">
        <v>36281.724551270003</v>
      </c>
      <c r="AJ12" s="42">
        <v>32211.148168619999</v>
      </c>
      <c r="AK12" s="42">
        <v>29061.428661279999</v>
      </c>
      <c r="AL12" s="42">
        <v>35498.080357699997</v>
      </c>
      <c r="AM12" s="42">
        <v>38712.336808749998</v>
      </c>
      <c r="AN12" s="42">
        <v>31056.835857739999</v>
      </c>
      <c r="AO12" s="42">
        <v>30822.804588629999</v>
      </c>
      <c r="AP12" s="42">
        <v>31740.53121818</v>
      </c>
      <c r="AQ12" s="42">
        <v>30306.18437083</v>
      </c>
      <c r="AR12" s="42">
        <v>37514.35635378</v>
      </c>
      <c r="AS12" s="42">
        <v>38214.926498989997</v>
      </c>
      <c r="AT12" s="42">
        <v>39418.211261900004</v>
      </c>
      <c r="AU12" s="42">
        <v>39151.269337079997</v>
      </c>
      <c r="AV12" s="42">
        <v>35166.69371734</v>
      </c>
      <c r="AW12" s="42">
        <v>31585.706937890001</v>
      </c>
      <c r="AX12" s="42">
        <v>37409.822339300001</v>
      </c>
      <c r="AY12" s="42">
        <v>38866.382255750003</v>
      </c>
      <c r="AZ12" s="42">
        <v>36585.514297239999</v>
      </c>
      <c r="BA12" s="42">
        <v>37565.293953580003</v>
      </c>
      <c r="BB12" s="42">
        <v>37262.35887964</v>
      </c>
      <c r="BC12" s="42">
        <v>36795.765149899999</v>
      </c>
      <c r="BD12" s="42">
        <v>35270.103037150002</v>
      </c>
      <c r="BE12" s="42">
        <v>38141.889294389999</v>
      </c>
      <c r="BF12" s="42">
        <v>35149.013350829999</v>
      </c>
      <c r="BG12" s="42">
        <v>33218.70000289</v>
      </c>
      <c r="BH12" s="42">
        <v>37138.674879849998</v>
      </c>
      <c r="BI12" s="42">
        <v>28422.997771030001</v>
      </c>
      <c r="BJ12" s="42">
        <v>38091.308046769998</v>
      </c>
      <c r="BK12" s="42">
        <v>15329.452653350003</v>
      </c>
      <c r="BL12" s="42">
        <v>4601.7559171399998</v>
      </c>
      <c r="BM12" s="42">
        <v>7687.4190534700001</v>
      </c>
      <c r="BN12" s="42">
        <v>15739.09174774</v>
      </c>
      <c r="BO12" s="42">
        <v>22253.617213019999</v>
      </c>
      <c r="BP12" s="42">
        <v>32624.341857150001</v>
      </c>
      <c r="BQ12" s="42">
        <v>27775.633537350001</v>
      </c>
      <c r="BR12" s="42">
        <v>31645.5344439</v>
      </c>
      <c r="BS12" s="42">
        <v>33042.266266409999</v>
      </c>
      <c r="BT12" s="42">
        <v>32551.70362706</v>
      </c>
      <c r="BU12" s="42">
        <v>36263.194167080001</v>
      </c>
      <c r="BV12" s="42">
        <v>52996.322443079996</v>
      </c>
      <c r="BW12" s="42">
        <v>53767.427033389999</v>
      </c>
      <c r="BX12" s="42">
        <v>53338.623176410001</v>
      </c>
      <c r="BY12" s="42">
        <v>50550.892870130003</v>
      </c>
      <c r="BZ12" s="42">
        <v>47568.079171199999</v>
      </c>
      <c r="CA12" s="42">
        <v>43695.538702270002</v>
      </c>
      <c r="CB12" s="42">
        <v>43370.388234220001</v>
      </c>
      <c r="CC12" s="42">
        <v>45730.25085045</v>
      </c>
      <c r="CD12" s="42">
        <v>49608.61823195</v>
      </c>
      <c r="CE12" s="42">
        <v>58122.181841179998</v>
      </c>
      <c r="CF12" s="42">
        <v>58031.213107509997</v>
      </c>
      <c r="CG12" s="42">
        <v>40725.996154439999</v>
      </c>
      <c r="CH12" s="42">
        <v>57657.275815890003</v>
      </c>
      <c r="CI12" s="42">
        <v>59395.172162429997</v>
      </c>
      <c r="CJ12" s="42">
        <v>58763.432979370002</v>
      </c>
      <c r="CK12" s="42">
        <v>65405.275816720001</v>
      </c>
      <c r="CL12" s="42">
        <v>65723.705189619999</v>
      </c>
      <c r="CM12" s="42">
        <v>56078.870083089998</v>
      </c>
      <c r="CN12" s="42">
        <v>56005.281722879998</v>
      </c>
      <c r="CO12" s="42">
        <v>69801.225106359998</v>
      </c>
      <c r="CP12" s="42">
        <v>82893.507605659994</v>
      </c>
      <c r="CQ12" s="42">
        <v>76750.289685809999</v>
      </c>
      <c r="CR12" s="42">
        <v>94458.788761889999</v>
      </c>
      <c r="CS12" s="42">
        <v>92065.577993479994</v>
      </c>
      <c r="CT12" s="42">
        <v>100573.55645385</v>
      </c>
      <c r="CU12" s="42">
        <v>99812.627051830001</v>
      </c>
      <c r="CV12" s="42">
        <v>97158.975218289997</v>
      </c>
      <c r="CW12" s="42">
        <v>97265.062195039995</v>
      </c>
      <c r="CX12" s="42">
        <v>94942.675514729999</v>
      </c>
      <c r="CY12" s="42">
        <v>121649.11825283</v>
      </c>
      <c r="CZ12" s="42">
        <v>117939.21435444</v>
      </c>
      <c r="DA12" s="42">
        <v>121768.59320923001</v>
      </c>
      <c r="DB12" s="42">
        <v>106381.21620878</v>
      </c>
      <c r="DC12" s="42">
        <v>106598.50283088</v>
      </c>
      <c r="DD12" s="42">
        <v>112970.90532165</v>
      </c>
      <c r="DE12" s="42">
        <v>92482.520084909993</v>
      </c>
      <c r="DF12" s="42">
        <v>96424.447207949997</v>
      </c>
      <c r="DG12" s="42">
        <v>126617.1768623</v>
      </c>
    </row>
    <row r="13" spans="1:111" s="30" customFormat="1" x14ac:dyDescent="0.3">
      <c r="A13" s="31" t="s">
        <v>6</v>
      </c>
      <c r="B13" s="25">
        <v>333.04857476999996</v>
      </c>
      <c r="C13" s="25">
        <v>472.32018999000002</v>
      </c>
      <c r="D13" s="25">
        <v>513.50404277000007</v>
      </c>
      <c r="E13" s="25">
        <v>503.53505699000004</v>
      </c>
      <c r="F13" s="25">
        <v>500.00742016999993</v>
      </c>
      <c r="G13" s="25">
        <v>488.75558448999999</v>
      </c>
      <c r="H13" s="25">
        <v>485.59425546999989</v>
      </c>
      <c r="I13" s="25">
        <v>479.45821597999998</v>
      </c>
      <c r="J13" s="26">
        <v>457.19400317999998</v>
      </c>
      <c r="K13" s="26">
        <v>462.36038918999998</v>
      </c>
      <c r="L13" s="26">
        <v>455.05481243999998</v>
      </c>
      <c r="M13" s="27">
        <v>455.05601153999999</v>
      </c>
      <c r="N13" s="29">
        <v>446.41164947999999</v>
      </c>
      <c r="O13" s="28">
        <v>429.50812643</v>
      </c>
      <c r="P13" s="28">
        <v>423.05575686999998</v>
      </c>
      <c r="Q13" s="29">
        <v>418.05537292000002</v>
      </c>
      <c r="R13" s="28">
        <v>416.55354058</v>
      </c>
      <c r="S13" s="28">
        <v>417.40370997999997</v>
      </c>
      <c r="T13" s="28">
        <v>181.59283879</v>
      </c>
      <c r="U13" s="28">
        <v>340.7311224</v>
      </c>
      <c r="V13" s="28">
        <v>291.44938070000001</v>
      </c>
      <c r="W13" s="28">
        <v>191.15482534</v>
      </c>
      <c r="X13" s="28">
        <v>290.14636560999998</v>
      </c>
      <c r="Y13" s="28">
        <v>187.92000919</v>
      </c>
      <c r="Z13" s="28">
        <v>188.37922655</v>
      </c>
      <c r="AA13" s="28">
        <v>183.20257819</v>
      </c>
      <c r="AB13" s="28">
        <v>184.94088658000001</v>
      </c>
      <c r="AC13" s="28">
        <v>180.66891806000001</v>
      </c>
      <c r="AD13" s="28">
        <v>182.38740669000001</v>
      </c>
      <c r="AE13" s="28">
        <v>177.59629777000001</v>
      </c>
      <c r="AF13" s="28">
        <v>170.25977771999999</v>
      </c>
      <c r="AG13" s="28">
        <v>171.25337916000001</v>
      </c>
      <c r="AH13" s="28">
        <v>163.45342711999999</v>
      </c>
      <c r="AI13" s="28">
        <v>169.64788648999999</v>
      </c>
      <c r="AJ13" s="28">
        <v>163.13308427999999</v>
      </c>
      <c r="AK13" s="28">
        <v>160.76341133</v>
      </c>
      <c r="AL13" s="28">
        <v>169.13386324000001</v>
      </c>
      <c r="AM13" s="28">
        <v>166.69790121</v>
      </c>
      <c r="AN13" s="28">
        <v>190.44631924000001</v>
      </c>
      <c r="AO13" s="28">
        <v>183.05181225000001</v>
      </c>
      <c r="AP13" s="28">
        <v>182.60923643999999</v>
      </c>
      <c r="AQ13" s="28">
        <v>181.10925983000001</v>
      </c>
      <c r="AR13" s="28">
        <v>187.88825374999999</v>
      </c>
      <c r="AS13" s="28">
        <v>186.42674310999999</v>
      </c>
      <c r="AT13" s="28">
        <v>192.01088082000001</v>
      </c>
      <c r="AU13" s="28">
        <v>192.95672384</v>
      </c>
      <c r="AV13" s="28">
        <v>193.15891983</v>
      </c>
      <c r="AW13" s="28">
        <v>191.84600287999999</v>
      </c>
      <c r="AX13" s="28">
        <v>191.29166015999999</v>
      </c>
      <c r="AY13" s="28">
        <v>189.50853574999999</v>
      </c>
      <c r="AZ13" s="28">
        <v>189.20388474000001</v>
      </c>
      <c r="BA13" s="28">
        <v>188.28653915999999</v>
      </c>
      <c r="BB13" s="28">
        <v>186.59297806999999</v>
      </c>
      <c r="BC13" s="28">
        <v>45.596636369999999</v>
      </c>
      <c r="BD13" s="28">
        <v>0</v>
      </c>
      <c r="BE13" s="28">
        <v>0</v>
      </c>
      <c r="BF13" s="28">
        <v>0</v>
      </c>
      <c r="BG13" s="28">
        <v>0</v>
      </c>
      <c r="BH13" s="28">
        <v>0</v>
      </c>
      <c r="BI13" s="28">
        <v>0</v>
      </c>
      <c r="BJ13" s="28">
        <v>0</v>
      </c>
      <c r="BK13" s="28">
        <v>0</v>
      </c>
      <c r="BL13" s="28">
        <v>0</v>
      </c>
      <c r="BM13" s="28">
        <v>0</v>
      </c>
      <c r="BN13" s="28">
        <v>3.6119287199999999</v>
      </c>
      <c r="BO13" s="28">
        <v>3.5750295200000002</v>
      </c>
      <c r="BP13" s="28">
        <v>4.4687838500000003</v>
      </c>
      <c r="BQ13" s="28">
        <v>4.4687838500000003</v>
      </c>
      <c r="BR13" s="28">
        <v>46.089976620000002</v>
      </c>
      <c r="BS13" s="28">
        <v>46.11408703</v>
      </c>
      <c r="BT13" s="28">
        <v>46.135533420000002</v>
      </c>
      <c r="BU13" s="28">
        <v>4.4687838500000003</v>
      </c>
      <c r="BV13" s="28">
        <v>4.4687838500000003</v>
      </c>
      <c r="BW13" s="28">
        <v>4.4687838500000003</v>
      </c>
      <c r="BX13" s="28">
        <v>45.982252469999999</v>
      </c>
      <c r="BY13" s="28">
        <v>45.985743679999999</v>
      </c>
      <c r="BZ13" s="28">
        <v>45.986130209999999</v>
      </c>
      <c r="CA13" s="28">
        <v>45.985743679999999</v>
      </c>
      <c r="CB13" s="28">
        <v>41.629065990000001</v>
      </c>
      <c r="CC13" s="28">
        <v>41.617694620000002</v>
      </c>
      <c r="CD13" s="28">
        <v>41.63550206</v>
      </c>
      <c r="CE13" s="28">
        <v>0.11110037</v>
      </c>
      <c r="CF13" s="28">
        <v>0.11112878</v>
      </c>
      <c r="CG13" s="28">
        <v>0.11603889000000001</v>
      </c>
      <c r="CH13" s="28">
        <v>0.11570954999999999</v>
      </c>
      <c r="CI13" s="28">
        <v>0.1167272</v>
      </c>
      <c r="CJ13" s="28">
        <v>0.11982412000000001</v>
      </c>
      <c r="CK13" s="28">
        <v>0.12119096</v>
      </c>
      <c r="CL13" s="28">
        <v>0.12373064</v>
      </c>
      <c r="CM13" s="29">
        <v>0.12384459</v>
      </c>
      <c r="CN13" s="29">
        <v>0.12534677</v>
      </c>
      <c r="CO13" s="29">
        <v>0.12583864</v>
      </c>
      <c r="CP13" s="29">
        <v>0.12576623000000001</v>
      </c>
      <c r="CQ13" s="29">
        <v>0.12611022999999999</v>
      </c>
      <c r="CR13" s="29">
        <v>0.12707747</v>
      </c>
      <c r="CS13" s="29">
        <v>0.12843209</v>
      </c>
      <c r="CT13" s="29">
        <v>0.12777585999999999</v>
      </c>
      <c r="CU13" s="29">
        <v>0.12682818000000001</v>
      </c>
      <c r="CV13" s="29">
        <v>0.12672032999999999</v>
      </c>
      <c r="CW13" s="29">
        <v>0.12698307</v>
      </c>
      <c r="CX13" s="29">
        <v>0.12687246999999999</v>
      </c>
      <c r="CY13" s="29">
        <v>0.12721585999999999</v>
      </c>
      <c r="CZ13" s="29">
        <v>0.12759866</v>
      </c>
      <c r="DA13" s="29">
        <v>0.12605279999999999</v>
      </c>
      <c r="DB13" s="29">
        <v>0.12622816000000001</v>
      </c>
      <c r="DC13" s="29">
        <v>0.12822159</v>
      </c>
      <c r="DD13" s="29">
        <v>0.12890196000000001</v>
      </c>
      <c r="DE13" s="29">
        <v>0</v>
      </c>
      <c r="DF13" s="29">
        <v>0</v>
      </c>
      <c r="DG13" s="29">
        <v>0</v>
      </c>
    </row>
    <row r="14" spans="1:111" s="113" customFormat="1" x14ac:dyDescent="0.3">
      <c r="A14" s="107" t="s">
        <v>7</v>
      </c>
      <c r="B14" s="108">
        <f t="shared" ref="B14:I14" si="2">IFERROR(100*(B13/B12),0)</f>
        <v>4.4189981565757996</v>
      </c>
      <c r="C14" s="157">
        <f t="shared" si="2"/>
        <v>5.9346223520261132</v>
      </c>
      <c r="D14" s="108">
        <f t="shared" si="2"/>
        <v>4.6603821533823444</v>
      </c>
      <c r="E14" s="108">
        <f t="shared" si="2"/>
        <v>3.8449152351320022</v>
      </c>
      <c r="F14" s="108">
        <f t="shared" si="2"/>
        <v>5.1135490436978701</v>
      </c>
      <c r="G14" s="108">
        <f t="shared" si="2"/>
        <v>4.5814882749745038</v>
      </c>
      <c r="H14" s="108">
        <f t="shared" si="2"/>
        <v>3.4668293673603983</v>
      </c>
      <c r="I14" s="108">
        <f t="shared" si="2"/>
        <v>3.2717164131036904</v>
      </c>
      <c r="J14" s="121">
        <v>2.8321028716073546</v>
      </c>
      <c r="K14" s="121">
        <v>3.1913052633697299</v>
      </c>
      <c r="L14" s="121">
        <v>2.7793330346278902</v>
      </c>
      <c r="M14" s="108">
        <v>2.3326234160007502</v>
      </c>
      <c r="N14" s="108">
        <v>2.5667988363929699</v>
      </c>
      <c r="O14" s="121">
        <v>2.2505243738674499</v>
      </c>
      <c r="P14" s="121">
        <v>2.32460042584606</v>
      </c>
      <c r="Q14" s="121">
        <v>2.3564920866035801</v>
      </c>
      <c r="R14" s="121">
        <v>2.4466662921953302</v>
      </c>
      <c r="S14" s="121">
        <v>2.1547844704500498</v>
      </c>
      <c r="T14" s="121">
        <v>0.85980029952142401</v>
      </c>
      <c r="U14" s="121">
        <v>1.50061601647885</v>
      </c>
      <c r="V14" s="121">
        <v>1.0378370781412301</v>
      </c>
      <c r="W14" s="121">
        <v>0.75556898595350097</v>
      </c>
      <c r="X14" s="121">
        <v>1.34600781372334</v>
      </c>
      <c r="Y14" s="121">
        <v>0.77104483171107197</v>
      </c>
      <c r="Z14" s="121">
        <v>0.58564990057421296</v>
      </c>
      <c r="AA14" s="121">
        <v>0.64887086212957301</v>
      </c>
      <c r="AB14" s="121">
        <v>0.62969916148662597</v>
      </c>
      <c r="AC14" s="121">
        <v>0.82463987321612198</v>
      </c>
      <c r="AD14" s="121">
        <v>0.81709645167658296</v>
      </c>
      <c r="AE14" s="121">
        <v>0.71269484210798495</v>
      </c>
      <c r="AF14" s="121">
        <v>0.49605992317243602</v>
      </c>
      <c r="AG14" s="121">
        <v>0.45388271704222199</v>
      </c>
      <c r="AH14" s="121">
        <v>0.50851479270970601</v>
      </c>
      <c r="AI14" s="121">
        <v>0.46758495795939697</v>
      </c>
      <c r="AJ14" s="121">
        <v>0.50644914433358701</v>
      </c>
      <c r="AK14" s="121">
        <v>0.55318481828181099</v>
      </c>
      <c r="AL14" s="121">
        <v>0.47645918183661101</v>
      </c>
      <c r="AM14" s="121">
        <v>0.43060666173043299</v>
      </c>
      <c r="AN14" s="121">
        <v>0.61321868110571498</v>
      </c>
      <c r="AO14" s="121">
        <v>0.59388434859534101</v>
      </c>
      <c r="AP14" s="121">
        <v>0.57531877833036105</v>
      </c>
      <c r="AQ14" s="121">
        <v>0.59759835686976004</v>
      </c>
      <c r="AR14" s="121">
        <v>0.50084360232151004</v>
      </c>
      <c r="AS14" s="121">
        <v>0.48783750274889898</v>
      </c>
      <c r="AT14" s="121">
        <v>0.48711211055279402</v>
      </c>
      <c r="AU14" s="121">
        <v>0.49284921563769402</v>
      </c>
      <c r="AV14" s="121">
        <v>0.54926664810333603</v>
      </c>
      <c r="AW14" s="121">
        <v>0.607382330423204</v>
      </c>
      <c r="AX14" s="121">
        <v>0.51134073405914904</v>
      </c>
      <c r="AY14" s="121">
        <v>0.48758985208087802</v>
      </c>
      <c r="AZ14" s="121">
        <v>0.517155186620606</v>
      </c>
      <c r="BA14" s="121">
        <v>0.50122471926525702</v>
      </c>
      <c r="BB14" s="121">
        <v>0.50075460513036296</v>
      </c>
      <c r="BC14" s="121">
        <v>0.123918163365395</v>
      </c>
      <c r="BD14" s="121">
        <v>0</v>
      </c>
      <c r="BE14" s="121">
        <v>0</v>
      </c>
      <c r="BF14" s="121">
        <v>0</v>
      </c>
      <c r="BG14" s="121">
        <v>0</v>
      </c>
      <c r="BH14" s="121">
        <v>0</v>
      </c>
      <c r="BI14" s="121">
        <v>0</v>
      </c>
      <c r="BJ14" s="121">
        <v>0</v>
      </c>
      <c r="BK14" s="121">
        <v>0</v>
      </c>
      <c r="BL14" s="121">
        <v>0</v>
      </c>
      <c r="BM14" s="121">
        <v>0</v>
      </c>
      <c r="BN14" s="121">
        <v>2.2948774795207901E-2</v>
      </c>
      <c r="BO14" s="121">
        <v>1.6064936705698099E-2</v>
      </c>
      <c r="BP14" s="121">
        <v>1.3697698085580299E-2</v>
      </c>
      <c r="BQ14" s="121">
        <v>1.60888638021193E-2</v>
      </c>
      <c r="BR14" s="121">
        <v>0.14564448801364599</v>
      </c>
      <c r="BS14" s="121">
        <v>0.139560908619874</v>
      </c>
      <c r="BT14" s="121">
        <v>0.14173001188683701</v>
      </c>
      <c r="BU14" s="121">
        <v>1.2323194226659701E-2</v>
      </c>
      <c r="BV14" s="121">
        <v>8.4322527375359606E-3</v>
      </c>
      <c r="BW14" s="121">
        <v>8.3113217361597894E-3</v>
      </c>
      <c r="BX14" s="121">
        <v>8.6208172861755694E-2</v>
      </c>
      <c r="BY14" s="121">
        <v>9.0969201667993702E-2</v>
      </c>
      <c r="BZ14" s="121">
        <v>9.6674347611333006E-2</v>
      </c>
      <c r="CA14" s="121">
        <v>0.105241278734048</v>
      </c>
      <c r="CB14" s="121">
        <v>9.5984997333166497E-2</v>
      </c>
      <c r="CC14" s="121">
        <v>9.1006923963966105E-2</v>
      </c>
      <c r="CD14" s="121">
        <v>8.3927961599996798E-2</v>
      </c>
      <c r="CE14" s="121">
        <v>1.91149689293468E-4</v>
      </c>
      <c r="CF14" s="121">
        <v>1.9149828867806099E-4</v>
      </c>
      <c r="CG14" s="121">
        <v>2.84925848246807E-4</v>
      </c>
      <c r="CH14" s="121">
        <v>2.0068507983186899E-4</v>
      </c>
      <c r="CI14" s="121">
        <v>1.96526410733826E-4</v>
      </c>
      <c r="CJ14" s="121">
        <v>2.03909325791205E-4</v>
      </c>
      <c r="CK14" s="121">
        <v>1.8529233075876601E-4</v>
      </c>
      <c r="CL14" s="121">
        <v>1.88258771539163E-4</v>
      </c>
      <c r="CM14" s="159">
        <v>2.20840023731762E-4</v>
      </c>
      <c r="CN14" s="159">
        <v>2.23812408658578E-4</v>
      </c>
      <c r="CO14" s="159">
        <v>1.8028142028775701E-4</v>
      </c>
      <c r="CP14" s="159">
        <v>1.5172024158790999E-4</v>
      </c>
      <c r="CQ14" s="159">
        <v>1.64312383075364E-4</v>
      </c>
      <c r="CR14" s="159">
        <v>1.3453218241061101E-4</v>
      </c>
      <c r="CS14" s="159">
        <v>1.39500661158175E-4</v>
      </c>
      <c r="CT14" s="159">
        <v>1.27047172741308E-4</v>
      </c>
      <c r="CU14" s="159">
        <v>1.2706626781212901E-4</v>
      </c>
      <c r="CV14" s="159">
        <v>1.3042575810962801E-4</v>
      </c>
      <c r="CW14" s="159">
        <v>1.3055363059899999E-4</v>
      </c>
      <c r="CX14" s="159">
        <v>1.3363060321626999E-4</v>
      </c>
      <c r="CY14" s="159">
        <v>1.04576064197687E-4</v>
      </c>
      <c r="CZ14" s="159">
        <v>1.0819018991981E-4</v>
      </c>
      <c r="DA14" s="159">
        <v>1.03518318375748E-4</v>
      </c>
      <c r="DB14" s="159">
        <v>1.18656436256819E-4</v>
      </c>
      <c r="DC14" s="159">
        <v>1.20284606814249E-4</v>
      </c>
      <c r="DD14" s="159">
        <v>1.1410190936594801E-4</v>
      </c>
      <c r="DE14" s="159">
        <v>0</v>
      </c>
      <c r="DF14" s="159">
        <v>0</v>
      </c>
      <c r="DG14" s="159">
        <v>0</v>
      </c>
    </row>
    <row r="15" spans="1:111" s="30" customFormat="1" ht="28.8" x14ac:dyDescent="0.3">
      <c r="A15" s="48" t="s">
        <v>10</v>
      </c>
      <c r="B15" s="19">
        <v>0</v>
      </c>
      <c r="C15" s="49">
        <v>0</v>
      </c>
      <c r="D15" s="19">
        <v>0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43">
        <v>0</v>
      </c>
      <c r="N15" s="43">
        <v>0</v>
      </c>
      <c r="O15" s="43">
        <v>0</v>
      </c>
      <c r="P15" s="43">
        <v>0</v>
      </c>
      <c r="Q15" s="43">
        <v>0</v>
      </c>
      <c r="R15" s="43">
        <v>0</v>
      </c>
      <c r="S15" s="43">
        <v>0</v>
      </c>
      <c r="T15" s="43">
        <v>0</v>
      </c>
      <c r="U15" s="43">
        <v>0</v>
      </c>
      <c r="V15" s="43">
        <v>0</v>
      </c>
      <c r="W15" s="43">
        <v>0</v>
      </c>
      <c r="X15" s="43">
        <v>0</v>
      </c>
      <c r="Y15" s="43">
        <v>0</v>
      </c>
      <c r="Z15" s="43">
        <v>0</v>
      </c>
      <c r="AA15" s="43">
        <v>0</v>
      </c>
      <c r="AB15" s="43">
        <v>0</v>
      </c>
      <c r="AC15" s="43">
        <v>0</v>
      </c>
      <c r="AD15" s="43">
        <v>0</v>
      </c>
      <c r="AE15" s="43">
        <v>0</v>
      </c>
      <c r="AF15" s="43">
        <v>0</v>
      </c>
      <c r="AG15" s="43">
        <v>0</v>
      </c>
      <c r="AH15" s="43">
        <v>0</v>
      </c>
      <c r="AI15" s="43">
        <v>0</v>
      </c>
      <c r="AJ15" s="43">
        <v>0</v>
      </c>
      <c r="AK15" s="43">
        <v>0</v>
      </c>
      <c r="AL15" s="43">
        <v>0</v>
      </c>
      <c r="AM15" s="43">
        <v>0</v>
      </c>
      <c r="AN15" s="43">
        <v>0</v>
      </c>
      <c r="AO15" s="43">
        <v>0</v>
      </c>
      <c r="AP15" s="43">
        <v>0</v>
      </c>
      <c r="AQ15" s="43">
        <v>0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3">
        <v>0</v>
      </c>
      <c r="AY15" s="43">
        <v>0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4434.9326654899996</v>
      </c>
      <c r="BF15" s="43">
        <v>7702.8614509999998</v>
      </c>
      <c r="BG15" s="43">
        <v>9608.7617463000006</v>
      </c>
      <c r="BH15" s="43">
        <v>10191.66721508</v>
      </c>
      <c r="BI15" s="43">
        <v>10232.20603865</v>
      </c>
      <c r="BJ15" s="43">
        <v>10796.90490224</v>
      </c>
      <c r="BK15" s="43">
        <v>10968.936511110001</v>
      </c>
      <c r="BL15" s="43">
        <v>10973.489195820001</v>
      </c>
      <c r="BM15" s="43">
        <v>10971.87451227</v>
      </c>
      <c r="BN15" s="43">
        <v>10973.30090104</v>
      </c>
      <c r="BO15" s="43">
        <v>10971.789413590001</v>
      </c>
      <c r="BP15" s="43">
        <v>13717.06822603</v>
      </c>
      <c r="BQ15" s="43">
        <v>13717.440024469999</v>
      </c>
      <c r="BR15" s="43">
        <v>13715.52410592</v>
      </c>
      <c r="BS15" s="43">
        <v>13717.763141699999</v>
      </c>
      <c r="BT15" s="43">
        <v>13716.09319195</v>
      </c>
      <c r="BU15" s="43">
        <v>13718.028077180001</v>
      </c>
      <c r="BV15" s="43">
        <v>13716.73815272</v>
      </c>
      <c r="BW15" s="43">
        <v>13710.098821330001</v>
      </c>
      <c r="BX15" s="43">
        <v>13715.6758572</v>
      </c>
      <c r="BY15" s="43">
        <v>13714.240060599999</v>
      </c>
      <c r="BZ15" s="43">
        <v>13716.499129739999</v>
      </c>
      <c r="CA15" s="43">
        <v>13714.61356021</v>
      </c>
      <c r="CB15" s="43">
        <v>13717.46658314</v>
      </c>
      <c r="CC15" s="43">
        <v>13718.263308740001</v>
      </c>
      <c r="CD15" s="43">
        <v>13336.30994988</v>
      </c>
      <c r="CE15" s="43">
        <v>12884.69619405</v>
      </c>
      <c r="CF15" s="43">
        <v>12507.128238429999</v>
      </c>
      <c r="CG15" s="43">
        <v>12665.61395194</v>
      </c>
      <c r="CH15" s="43">
        <v>12236.731399800001</v>
      </c>
      <c r="CI15" s="43">
        <v>11942.363900320001</v>
      </c>
      <c r="CJ15" s="43">
        <v>11853.94376448</v>
      </c>
      <c r="CK15" s="43">
        <v>11574.688875760001</v>
      </c>
      <c r="CL15" s="43">
        <v>11455.09340851</v>
      </c>
      <c r="CM15" s="43">
        <v>11053.301871240001</v>
      </c>
      <c r="CN15" s="43">
        <v>10820.82969828</v>
      </c>
      <c r="CO15" s="43">
        <v>10500.75142805</v>
      </c>
      <c r="CP15" s="43">
        <v>10082.08046886</v>
      </c>
      <c r="CQ15" s="43">
        <v>9716.6596230100004</v>
      </c>
      <c r="CR15" s="43">
        <v>9515.3173275200006</v>
      </c>
      <c r="CS15" s="43">
        <v>9341.9701004300005</v>
      </c>
      <c r="CT15" s="43">
        <v>8858.93066292</v>
      </c>
      <c r="CU15" s="43">
        <v>8361.1042190099997</v>
      </c>
      <c r="CV15" s="43">
        <v>7953.6333489299996</v>
      </c>
      <c r="CW15" s="43">
        <v>7601.0618946200002</v>
      </c>
      <c r="CX15" s="43">
        <v>7254.3542856499998</v>
      </c>
      <c r="CY15" s="43">
        <v>6850.4419621999996</v>
      </c>
      <c r="CZ15" s="43">
        <v>6447.1981525399997</v>
      </c>
      <c r="DA15" s="43">
        <v>5947.3690642499996</v>
      </c>
      <c r="DB15" s="43">
        <v>5480.27127165</v>
      </c>
      <c r="DC15" s="43">
        <v>5108.8028182400003</v>
      </c>
      <c r="DD15" s="43">
        <v>4605.0496396600001</v>
      </c>
      <c r="DE15" s="43">
        <v>4221.2155221000003</v>
      </c>
      <c r="DF15" s="43">
        <v>3804.37093499</v>
      </c>
      <c r="DG15" s="43">
        <v>3375.5116322899999</v>
      </c>
    </row>
    <row r="16" spans="1:111" s="30" customFormat="1" x14ac:dyDescent="0.3">
      <c r="A16" s="31" t="s">
        <v>6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  <c r="H16" s="25">
        <v>0</v>
      </c>
      <c r="I16" s="25">
        <v>0</v>
      </c>
      <c r="J16" s="25">
        <v>0</v>
      </c>
      <c r="K16" s="25">
        <v>0</v>
      </c>
      <c r="L16" s="26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0</v>
      </c>
      <c r="AC16" s="29">
        <v>0</v>
      </c>
      <c r="AD16" s="29">
        <v>0</v>
      </c>
      <c r="AE16" s="29">
        <v>0</v>
      </c>
      <c r="AF16" s="29">
        <v>0</v>
      </c>
      <c r="AG16" s="29">
        <v>0</v>
      </c>
      <c r="AH16" s="29">
        <v>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R16" s="29">
        <v>0</v>
      </c>
      <c r="AS16" s="29">
        <v>0</v>
      </c>
      <c r="AT16" s="29">
        <v>0</v>
      </c>
      <c r="AU16" s="29">
        <v>0</v>
      </c>
      <c r="AV16" s="29">
        <v>0</v>
      </c>
      <c r="AW16" s="29">
        <v>0</v>
      </c>
      <c r="AX16" s="29">
        <v>0</v>
      </c>
      <c r="AY16" s="29">
        <v>0</v>
      </c>
      <c r="AZ16" s="29">
        <v>0</v>
      </c>
      <c r="BA16" s="29">
        <v>0</v>
      </c>
      <c r="BB16" s="29">
        <v>0</v>
      </c>
      <c r="BC16" s="29">
        <v>0</v>
      </c>
      <c r="BD16" s="29">
        <v>0</v>
      </c>
      <c r="BE16" s="29">
        <v>0</v>
      </c>
      <c r="BF16" s="29">
        <v>0</v>
      </c>
      <c r="BG16" s="29">
        <v>0</v>
      </c>
      <c r="BH16" s="29">
        <v>0</v>
      </c>
      <c r="BI16" s="29">
        <v>0</v>
      </c>
      <c r="BJ16" s="29">
        <v>0</v>
      </c>
      <c r="BK16" s="29">
        <v>0</v>
      </c>
      <c r="BL16" s="29">
        <v>0</v>
      </c>
      <c r="BM16" s="29">
        <v>0</v>
      </c>
      <c r="BN16" s="29">
        <v>0</v>
      </c>
      <c r="BO16" s="29">
        <v>0</v>
      </c>
      <c r="BP16" s="29">
        <v>0</v>
      </c>
      <c r="BQ16" s="29">
        <v>0</v>
      </c>
      <c r="BR16" s="29">
        <v>0</v>
      </c>
      <c r="BS16" s="29">
        <v>0</v>
      </c>
      <c r="BT16" s="29">
        <v>0</v>
      </c>
      <c r="BU16" s="29">
        <v>0</v>
      </c>
      <c r="BV16" s="29">
        <v>0</v>
      </c>
      <c r="BW16" s="29">
        <v>0</v>
      </c>
      <c r="BX16" s="29">
        <v>0</v>
      </c>
      <c r="BY16" s="29">
        <v>0</v>
      </c>
      <c r="BZ16" s="29">
        <v>0</v>
      </c>
      <c r="CA16" s="29">
        <v>0</v>
      </c>
      <c r="CB16" s="29">
        <v>0</v>
      </c>
      <c r="CC16" s="29">
        <v>0</v>
      </c>
      <c r="CD16" s="29">
        <v>0</v>
      </c>
      <c r="CE16" s="29">
        <v>0</v>
      </c>
      <c r="CF16" s="29">
        <v>0</v>
      </c>
      <c r="CG16" s="29">
        <v>0</v>
      </c>
      <c r="CH16" s="29">
        <v>0</v>
      </c>
      <c r="CI16" s="29">
        <v>0</v>
      </c>
      <c r="CJ16" s="29">
        <v>0</v>
      </c>
      <c r="CK16" s="29">
        <v>0</v>
      </c>
      <c r="CL16" s="29">
        <v>0</v>
      </c>
      <c r="CM16" s="29">
        <v>0</v>
      </c>
      <c r="CN16" s="29">
        <v>0</v>
      </c>
      <c r="CO16" s="29">
        <v>0</v>
      </c>
      <c r="CP16" s="29">
        <v>0</v>
      </c>
      <c r="CQ16" s="29">
        <v>0</v>
      </c>
      <c r="CR16" s="29">
        <v>0</v>
      </c>
      <c r="CS16" s="29">
        <v>0</v>
      </c>
      <c r="CT16" s="29">
        <v>0</v>
      </c>
      <c r="CU16" s="29">
        <v>0</v>
      </c>
      <c r="CV16" s="29">
        <v>0</v>
      </c>
      <c r="CW16" s="29">
        <v>0</v>
      </c>
      <c r="CX16" s="29">
        <v>0</v>
      </c>
      <c r="CY16" s="29">
        <v>0</v>
      </c>
      <c r="CZ16" s="29">
        <v>0</v>
      </c>
      <c r="DA16" s="29">
        <v>0</v>
      </c>
      <c r="DB16" s="29">
        <v>0</v>
      </c>
      <c r="DC16" s="29">
        <v>0</v>
      </c>
      <c r="DD16" s="29">
        <v>0</v>
      </c>
      <c r="DE16" s="29">
        <v>0</v>
      </c>
      <c r="DF16" s="29">
        <v>0</v>
      </c>
      <c r="DG16" s="29">
        <v>0</v>
      </c>
    </row>
    <row r="17" spans="1:111" s="113" customFormat="1" x14ac:dyDescent="0.3">
      <c r="A17" s="107" t="s">
        <v>7</v>
      </c>
      <c r="B17" s="108">
        <f t="shared" ref="B17:I17" si="3">IFERROR(100*(B16/B15),0)</f>
        <v>0</v>
      </c>
      <c r="C17" s="157">
        <f t="shared" si="3"/>
        <v>0</v>
      </c>
      <c r="D17" s="108">
        <f t="shared" si="3"/>
        <v>0</v>
      </c>
      <c r="E17" s="108">
        <f t="shared" si="3"/>
        <v>0</v>
      </c>
      <c r="F17" s="108">
        <f t="shared" si="3"/>
        <v>0</v>
      </c>
      <c r="G17" s="108">
        <f t="shared" si="3"/>
        <v>0</v>
      </c>
      <c r="H17" s="108">
        <f t="shared" si="3"/>
        <v>0</v>
      </c>
      <c r="I17" s="108">
        <f t="shared" si="3"/>
        <v>0</v>
      </c>
      <c r="J17" s="108">
        <v>0</v>
      </c>
      <c r="K17" s="108">
        <v>0</v>
      </c>
      <c r="L17" s="109">
        <v>0</v>
      </c>
      <c r="M17" s="108">
        <v>0</v>
      </c>
      <c r="N17" s="109">
        <v>0</v>
      </c>
      <c r="O17" s="109">
        <v>0</v>
      </c>
      <c r="P17" s="109">
        <v>0</v>
      </c>
      <c r="Q17" s="109">
        <v>0</v>
      </c>
      <c r="R17" s="109">
        <v>0</v>
      </c>
      <c r="S17" s="109">
        <v>0</v>
      </c>
      <c r="T17" s="109">
        <v>0</v>
      </c>
      <c r="U17" s="109">
        <v>0</v>
      </c>
      <c r="V17" s="109">
        <v>0</v>
      </c>
      <c r="W17" s="109">
        <v>0</v>
      </c>
      <c r="X17" s="109">
        <v>0</v>
      </c>
      <c r="Y17" s="109">
        <v>0</v>
      </c>
      <c r="Z17" s="109">
        <v>0</v>
      </c>
      <c r="AA17" s="109">
        <v>0</v>
      </c>
      <c r="AB17" s="109">
        <v>0</v>
      </c>
      <c r="AC17" s="109">
        <v>0</v>
      </c>
      <c r="AD17" s="109">
        <v>0</v>
      </c>
      <c r="AE17" s="109">
        <v>0</v>
      </c>
      <c r="AF17" s="109">
        <v>0</v>
      </c>
      <c r="AG17" s="109">
        <v>0</v>
      </c>
      <c r="AH17" s="109">
        <v>0</v>
      </c>
      <c r="AI17" s="109">
        <v>0</v>
      </c>
      <c r="AJ17" s="109">
        <v>0</v>
      </c>
      <c r="AK17" s="109">
        <v>0</v>
      </c>
      <c r="AL17" s="109">
        <v>0</v>
      </c>
      <c r="AM17" s="109">
        <v>0</v>
      </c>
      <c r="AN17" s="109">
        <v>0</v>
      </c>
      <c r="AO17" s="109">
        <v>0</v>
      </c>
      <c r="AP17" s="109">
        <v>0</v>
      </c>
      <c r="AQ17" s="109">
        <v>0</v>
      </c>
      <c r="AR17" s="109">
        <v>0</v>
      </c>
      <c r="AS17" s="109">
        <v>0</v>
      </c>
      <c r="AT17" s="109">
        <v>0</v>
      </c>
      <c r="AU17" s="109">
        <v>0</v>
      </c>
      <c r="AV17" s="109">
        <v>0</v>
      </c>
      <c r="AW17" s="109">
        <v>0</v>
      </c>
      <c r="AX17" s="109">
        <v>0</v>
      </c>
      <c r="AY17" s="109">
        <v>0</v>
      </c>
      <c r="AZ17" s="109">
        <v>0</v>
      </c>
      <c r="BA17" s="109">
        <v>0</v>
      </c>
      <c r="BB17" s="109">
        <v>0</v>
      </c>
      <c r="BC17" s="109">
        <v>0</v>
      </c>
      <c r="BD17" s="109">
        <v>0</v>
      </c>
      <c r="BE17" s="109">
        <v>0</v>
      </c>
      <c r="BF17" s="109">
        <v>0</v>
      </c>
      <c r="BG17" s="109">
        <v>0</v>
      </c>
      <c r="BH17" s="109">
        <v>0</v>
      </c>
      <c r="BI17" s="109">
        <v>0</v>
      </c>
      <c r="BJ17" s="109">
        <v>0</v>
      </c>
      <c r="BK17" s="109">
        <v>0</v>
      </c>
      <c r="BL17" s="109">
        <v>0</v>
      </c>
      <c r="BM17" s="109">
        <v>0</v>
      </c>
      <c r="BN17" s="109">
        <v>0</v>
      </c>
      <c r="BO17" s="109">
        <v>0</v>
      </c>
      <c r="BP17" s="109">
        <v>0</v>
      </c>
      <c r="BQ17" s="109">
        <v>0</v>
      </c>
      <c r="BR17" s="109">
        <v>0</v>
      </c>
      <c r="BS17" s="109">
        <v>0</v>
      </c>
      <c r="BT17" s="109">
        <v>0</v>
      </c>
      <c r="BU17" s="109">
        <v>0</v>
      </c>
      <c r="BV17" s="109">
        <v>0</v>
      </c>
      <c r="BW17" s="109">
        <v>0</v>
      </c>
      <c r="BX17" s="109">
        <v>0</v>
      </c>
      <c r="BY17" s="109">
        <v>0</v>
      </c>
      <c r="BZ17" s="109">
        <v>0</v>
      </c>
      <c r="CA17" s="109">
        <v>0</v>
      </c>
      <c r="CB17" s="109">
        <v>0</v>
      </c>
      <c r="CC17" s="109">
        <v>0</v>
      </c>
      <c r="CD17" s="109">
        <v>0</v>
      </c>
      <c r="CE17" s="109">
        <v>0</v>
      </c>
      <c r="CF17" s="109">
        <v>0</v>
      </c>
      <c r="CG17" s="109">
        <v>0</v>
      </c>
      <c r="CH17" s="109">
        <v>0</v>
      </c>
      <c r="CI17" s="109">
        <v>0</v>
      </c>
      <c r="CJ17" s="109">
        <v>0</v>
      </c>
      <c r="CK17" s="109">
        <v>0</v>
      </c>
      <c r="CL17" s="109">
        <v>0</v>
      </c>
      <c r="CM17" s="111">
        <v>0</v>
      </c>
      <c r="CN17" s="111">
        <v>0</v>
      </c>
      <c r="CO17" s="111">
        <v>0</v>
      </c>
      <c r="CP17" s="111">
        <v>0</v>
      </c>
      <c r="CQ17" s="111">
        <v>0</v>
      </c>
      <c r="CR17" s="111">
        <v>0</v>
      </c>
      <c r="CS17" s="111">
        <v>0</v>
      </c>
      <c r="CT17" s="111">
        <v>0</v>
      </c>
      <c r="CU17" s="111">
        <v>0</v>
      </c>
      <c r="CV17" s="111">
        <v>0</v>
      </c>
      <c r="CW17" s="111">
        <v>0</v>
      </c>
      <c r="CX17" s="111">
        <v>0</v>
      </c>
      <c r="CY17" s="111">
        <v>0</v>
      </c>
      <c r="CZ17" s="111">
        <v>0</v>
      </c>
      <c r="DA17" s="111">
        <v>0</v>
      </c>
      <c r="DB17" s="111">
        <v>0</v>
      </c>
      <c r="DC17" s="111">
        <v>0</v>
      </c>
      <c r="DD17" s="111">
        <v>0</v>
      </c>
      <c r="DE17" s="111">
        <v>0</v>
      </c>
      <c r="DF17" s="111">
        <v>0</v>
      </c>
      <c r="DG17" s="111">
        <v>0</v>
      </c>
    </row>
    <row r="18" spans="1:111" s="30" customFormat="1" x14ac:dyDescent="0.3">
      <c r="A18" s="50" t="s">
        <v>11</v>
      </c>
      <c r="B18" s="51">
        <f t="shared" ref="B18:I18" si="4">B6+B9+B12+B15</f>
        <v>394438.21751346026</v>
      </c>
      <c r="C18" s="52">
        <f t="shared" si="4"/>
        <v>527213.88356003002</v>
      </c>
      <c r="D18" s="51">
        <f t="shared" si="4"/>
        <v>518751.35302208987</v>
      </c>
      <c r="E18" s="51">
        <f t="shared" si="4"/>
        <v>508511.40900876914</v>
      </c>
      <c r="F18" s="51">
        <f t="shared" si="4"/>
        <v>504791.88722129003</v>
      </c>
      <c r="G18" s="51">
        <f t="shared" si="4"/>
        <v>495613.08341532998</v>
      </c>
      <c r="H18" s="51">
        <f t="shared" si="4"/>
        <v>488498.47948603961</v>
      </c>
      <c r="I18" s="51">
        <f t="shared" si="4"/>
        <v>482173.5847517298</v>
      </c>
      <c r="J18" s="53">
        <v>493775.75222952041</v>
      </c>
      <c r="K18" s="53">
        <v>502341.01083952998</v>
      </c>
      <c r="L18" s="53">
        <v>500952.95583349001</v>
      </c>
      <c r="M18" s="51">
        <v>515178.06898506999</v>
      </c>
      <c r="N18" s="53">
        <v>545343.19558695995</v>
      </c>
      <c r="O18" s="53">
        <v>524949.72410669003</v>
      </c>
      <c r="P18" s="53">
        <v>525905.83937417006</v>
      </c>
      <c r="Q18" s="53">
        <v>522022.85866248002</v>
      </c>
      <c r="R18" s="53">
        <v>519016.40326383</v>
      </c>
      <c r="S18" s="53">
        <v>521921.22405964998</v>
      </c>
      <c r="T18" s="53">
        <v>535472.12545604003</v>
      </c>
      <c r="U18" s="53">
        <v>566433.37595449004</v>
      </c>
      <c r="V18" s="53">
        <v>585334.72672173998</v>
      </c>
      <c r="W18" s="53">
        <v>583379.80599625001</v>
      </c>
      <c r="X18" s="53">
        <v>591098.00823373999</v>
      </c>
      <c r="Y18" s="53">
        <v>554817.48315972998</v>
      </c>
      <c r="Z18" s="53">
        <v>562497.03810153005</v>
      </c>
      <c r="AA18" s="53">
        <v>532083.74902133003</v>
      </c>
      <c r="AB18" s="53">
        <v>544533.73384110001</v>
      </c>
      <c r="AC18" s="53">
        <v>522615.37093292002</v>
      </c>
      <c r="AD18" s="53">
        <v>520809.65773431998</v>
      </c>
      <c r="AE18" s="53">
        <v>509753.2143857</v>
      </c>
      <c r="AF18" s="53">
        <v>496928.60525342001</v>
      </c>
      <c r="AG18" s="53">
        <v>499589.77670957998</v>
      </c>
      <c r="AH18" s="53">
        <v>468945.87550452002</v>
      </c>
      <c r="AI18" s="53">
        <v>493004.54676440998</v>
      </c>
      <c r="AJ18" s="53">
        <v>471566.90188260999</v>
      </c>
      <c r="AK18" s="53">
        <v>453600.08029526001</v>
      </c>
      <c r="AL18" s="53">
        <v>477479.75561552</v>
      </c>
      <c r="AM18" s="53">
        <v>471273.41774369002</v>
      </c>
      <c r="AN18" s="53">
        <v>521375.75005997001</v>
      </c>
      <c r="AO18" s="53">
        <v>499331.32595542999</v>
      </c>
      <c r="AP18" s="53">
        <v>495886.51131182001</v>
      </c>
      <c r="AQ18" s="53">
        <v>467797.78754249</v>
      </c>
      <c r="AR18" s="53">
        <v>493485.33181682002</v>
      </c>
      <c r="AS18" s="53">
        <v>495386.72520991002</v>
      </c>
      <c r="AT18" s="53">
        <v>471415.73613421997</v>
      </c>
      <c r="AU18" s="53">
        <v>450139.91815416998</v>
      </c>
      <c r="AV18" s="53">
        <v>423866.49131350999</v>
      </c>
      <c r="AW18" s="53">
        <v>407343.29963929002</v>
      </c>
      <c r="AX18" s="53">
        <v>410272.52291961003</v>
      </c>
      <c r="AY18" s="53">
        <v>406560.81152569997</v>
      </c>
      <c r="AZ18" s="53">
        <v>398065.64882796002</v>
      </c>
      <c r="BA18" s="53">
        <v>403544.08265128999</v>
      </c>
      <c r="BB18" s="53">
        <v>387194.22975355003</v>
      </c>
      <c r="BC18" s="53">
        <v>376013.08370751003</v>
      </c>
      <c r="BD18" s="53">
        <v>364850.38579337002</v>
      </c>
      <c r="BE18" s="53">
        <v>374751.89826709998</v>
      </c>
      <c r="BF18" s="53">
        <v>362140.96647232003</v>
      </c>
      <c r="BG18" s="53">
        <v>365756.93397120998</v>
      </c>
      <c r="BH18" s="53">
        <v>368053.68541909999</v>
      </c>
      <c r="BI18" s="53">
        <v>361899.30046244001</v>
      </c>
      <c r="BJ18" s="53">
        <v>389797.97050116002</v>
      </c>
      <c r="BK18" s="53">
        <v>331172.50487326999</v>
      </c>
      <c r="BL18" s="53">
        <v>319318.19952934998</v>
      </c>
      <c r="BM18" s="53">
        <v>311889.62917079998</v>
      </c>
      <c r="BN18" s="53">
        <v>313946.29717172001</v>
      </c>
      <c r="BO18" s="53">
        <v>315954.74380583002</v>
      </c>
      <c r="BP18" s="53">
        <v>391845.68438763003</v>
      </c>
      <c r="BQ18" s="53">
        <v>382117.10357846</v>
      </c>
      <c r="BR18" s="53">
        <v>379131.69959596999</v>
      </c>
      <c r="BS18" s="53">
        <v>376659.97139895998</v>
      </c>
      <c r="BT18" s="53">
        <v>377087.17166985001</v>
      </c>
      <c r="BU18" s="53">
        <v>359213.15488014999</v>
      </c>
      <c r="BV18" s="53">
        <v>374140.38762339001</v>
      </c>
      <c r="BW18" s="53">
        <v>366386.34499228001</v>
      </c>
      <c r="BX18" s="53">
        <v>362721.23998060002</v>
      </c>
      <c r="BY18" s="53">
        <v>358827.32657739997</v>
      </c>
      <c r="BZ18" s="53">
        <v>348691.15776459</v>
      </c>
      <c r="CA18" s="53">
        <v>343462.33584004</v>
      </c>
      <c r="CB18" s="53">
        <v>344448.04436668998</v>
      </c>
      <c r="CC18" s="53">
        <v>348007.41892339999</v>
      </c>
      <c r="CD18" s="53">
        <v>346671.34891677002</v>
      </c>
      <c r="CE18" s="53">
        <v>355742.7431273</v>
      </c>
      <c r="CF18" s="53">
        <v>358753.44198314002</v>
      </c>
      <c r="CG18" s="53">
        <v>348193.64845899999</v>
      </c>
      <c r="CH18" s="53">
        <v>359100.31729489</v>
      </c>
      <c r="CI18" s="53">
        <v>358333.76629722002</v>
      </c>
      <c r="CJ18" s="53">
        <v>362612.71446742001</v>
      </c>
      <c r="CK18" s="53">
        <v>370254.38510955998</v>
      </c>
      <c r="CL18" s="53">
        <v>377432.24216258997</v>
      </c>
      <c r="CM18" s="50">
        <v>364093.58931472001</v>
      </c>
      <c r="CN18" s="50">
        <v>371156.17005876999</v>
      </c>
      <c r="CO18" s="50">
        <v>386391.48608284001</v>
      </c>
      <c r="CP18" s="50">
        <v>399031.97866753</v>
      </c>
      <c r="CQ18" s="50">
        <v>390436.82791165001</v>
      </c>
      <c r="CR18" s="50">
        <v>413796.83527621999</v>
      </c>
      <c r="CS18" s="50">
        <v>413029.97462408</v>
      </c>
      <c r="CT18" s="50">
        <v>410874.44968508999</v>
      </c>
      <c r="CU18" s="50">
        <v>408538.44833061</v>
      </c>
      <c r="CV18" s="50">
        <v>404960.84907637001</v>
      </c>
      <c r="CW18" s="50">
        <v>413088.59923711</v>
      </c>
      <c r="CX18" s="50">
        <v>407463.63488246</v>
      </c>
      <c r="CY18" s="50">
        <v>437877.89893844997</v>
      </c>
      <c r="CZ18" s="50">
        <v>434515.69655569998</v>
      </c>
      <c r="DA18" s="50">
        <v>439883.89788204001</v>
      </c>
      <c r="DB18" s="50">
        <v>432191.04771078</v>
      </c>
      <c r="DC18" s="50">
        <v>447806.72023584001</v>
      </c>
      <c r="DD18" s="50">
        <v>462938.63953011</v>
      </c>
      <c r="DE18" s="50">
        <v>429782.8534739</v>
      </c>
      <c r="DF18" s="50">
        <v>435884.38786233001</v>
      </c>
      <c r="DG18" s="50">
        <v>470069.36856497999</v>
      </c>
    </row>
    <row r="19" spans="1:111" s="63" customFormat="1" x14ac:dyDescent="0.3">
      <c r="A19" s="75" t="s">
        <v>12</v>
      </c>
      <c r="B19" s="58"/>
      <c r="C19" s="59"/>
      <c r="D19" s="58"/>
      <c r="E19" s="58"/>
      <c r="F19" s="58"/>
      <c r="G19" s="58"/>
      <c r="H19" s="58"/>
      <c r="I19" s="58"/>
      <c r="J19" s="60"/>
      <c r="K19" s="60"/>
      <c r="L19" s="60"/>
      <c r="M19" s="58"/>
      <c r="N19" s="61"/>
      <c r="O19" s="62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61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</row>
    <row r="20" spans="1:111" s="63" customFormat="1" x14ac:dyDescent="0.3">
      <c r="A20" s="56" t="s">
        <v>13</v>
      </c>
      <c r="B20" s="65">
        <v>52827.962970040004</v>
      </c>
      <c r="C20" s="65">
        <v>197003.58658380006</v>
      </c>
      <c r="D20" s="65">
        <v>197882.38532321999</v>
      </c>
      <c r="E20" s="65">
        <v>197340.00266014002</v>
      </c>
      <c r="F20" s="65">
        <v>197612.30395608986</v>
      </c>
      <c r="G20" s="65">
        <v>196946.01297459</v>
      </c>
      <c r="H20" s="65">
        <v>193567.35636227005</v>
      </c>
      <c r="I20" s="65">
        <v>194308.1418639</v>
      </c>
      <c r="J20" s="60">
        <v>201206.82627993004</v>
      </c>
      <c r="K20" s="60">
        <v>208828.09531040001</v>
      </c>
      <c r="L20" s="60">
        <v>212005.22110624</v>
      </c>
      <c r="M20" s="65">
        <v>226540.17642755</v>
      </c>
      <c r="N20" s="66">
        <v>238858.92315046</v>
      </c>
      <c r="O20" s="67">
        <v>228170.15845489001</v>
      </c>
      <c r="P20" s="68">
        <v>235062.59573115001</v>
      </c>
      <c r="Q20" s="68">
        <v>235563.53205926</v>
      </c>
      <c r="R20" s="68">
        <v>233873.90171112001</v>
      </c>
      <c r="S20" s="68">
        <v>237475.82342244001</v>
      </c>
      <c r="T20" s="68">
        <v>245100.40976941999</v>
      </c>
      <c r="U20" s="68">
        <v>262467.60032620002</v>
      </c>
      <c r="V20" s="68">
        <v>276641.72557746997</v>
      </c>
      <c r="W20" s="68">
        <v>274511.46597036999</v>
      </c>
      <c r="X20" s="68">
        <v>280423.60572166002</v>
      </c>
      <c r="Y20" s="68">
        <v>278089.07250792999</v>
      </c>
      <c r="Z20" s="68">
        <v>279818.84103040001</v>
      </c>
      <c r="AA20" s="68">
        <v>274915.87157719</v>
      </c>
      <c r="AB20" s="68">
        <v>284203.74635620997</v>
      </c>
      <c r="AC20" s="68">
        <v>268920.71109863999</v>
      </c>
      <c r="AD20" s="68">
        <v>270133.23476947</v>
      </c>
      <c r="AE20" s="68">
        <v>263083.03155911999</v>
      </c>
      <c r="AF20" s="68">
        <v>257982.05916415999</v>
      </c>
      <c r="AG20" s="68">
        <v>258949.90156520001</v>
      </c>
      <c r="AH20" s="68">
        <v>246674.54364277</v>
      </c>
      <c r="AI20" s="68">
        <v>262181.55532906001</v>
      </c>
      <c r="AJ20" s="68">
        <v>251282.06754836999</v>
      </c>
      <c r="AK20" s="68">
        <v>243994.77836818001</v>
      </c>
      <c r="AL20" s="68">
        <v>257505.61105812</v>
      </c>
      <c r="AM20" s="68">
        <v>253818.49554239999</v>
      </c>
      <c r="AN20" s="68">
        <v>276783.48918785999</v>
      </c>
      <c r="AO20" s="68">
        <v>265894.35149446002</v>
      </c>
      <c r="AP20" s="68">
        <v>266503.52591491002</v>
      </c>
      <c r="AQ20" s="68">
        <v>243421.93702556001</v>
      </c>
      <c r="AR20" s="68">
        <v>253324.32492364</v>
      </c>
      <c r="AS20" s="68">
        <v>256171.20513483</v>
      </c>
      <c r="AT20" s="68">
        <v>240872.05142683999</v>
      </c>
      <c r="AU20" s="68">
        <v>225659.10089467</v>
      </c>
      <c r="AV20" s="68">
        <v>200356.72664725999</v>
      </c>
      <c r="AW20" s="68">
        <v>191842.97862049</v>
      </c>
      <c r="AX20" s="68">
        <v>191996.16886181</v>
      </c>
      <c r="AY20" s="68">
        <v>192599.73289558</v>
      </c>
      <c r="AZ20" s="68">
        <v>187588.81499324</v>
      </c>
      <c r="BA20" s="68">
        <v>187908.79245745999</v>
      </c>
      <c r="BB20" s="68">
        <v>175828.63330039999</v>
      </c>
      <c r="BC20" s="68">
        <v>168073.64871656999</v>
      </c>
      <c r="BD20" s="68">
        <v>164896.21684291001</v>
      </c>
      <c r="BE20" s="68">
        <v>171303.28915160001</v>
      </c>
      <c r="BF20" s="68">
        <v>158812.20733067</v>
      </c>
      <c r="BG20" s="68">
        <v>160463.04791332001</v>
      </c>
      <c r="BH20" s="68">
        <v>148951.37835275001</v>
      </c>
      <c r="BI20" s="68">
        <v>145866.9804081</v>
      </c>
      <c r="BJ20" s="68">
        <v>160276.13382126001</v>
      </c>
      <c r="BK20" s="68">
        <v>154284.66949923997</v>
      </c>
      <c r="BL20" s="68">
        <v>148627.64142493001</v>
      </c>
      <c r="BM20" s="68">
        <v>142815.34777232999</v>
      </c>
      <c r="BN20" s="68">
        <v>146530.28775476999</v>
      </c>
      <c r="BO20" s="68">
        <v>148064.48652474</v>
      </c>
      <c r="BP20" s="68">
        <v>194065.02418938</v>
      </c>
      <c r="BQ20" s="68">
        <v>183498.33254867999</v>
      </c>
      <c r="BR20" s="68">
        <v>187154.91864269</v>
      </c>
      <c r="BS20" s="68">
        <v>182450.11663824</v>
      </c>
      <c r="BT20" s="68">
        <v>182798.83703938001</v>
      </c>
      <c r="BU20" s="68">
        <v>169187.6332562</v>
      </c>
      <c r="BV20" s="68">
        <v>185264.15795113999</v>
      </c>
      <c r="BW20" s="68">
        <v>183545.18123859001</v>
      </c>
      <c r="BX20" s="68">
        <v>183266.14375289</v>
      </c>
      <c r="BY20" s="68">
        <v>181963.96000917</v>
      </c>
      <c r="BZ20" s="68">
        <v>177475.07420303</v>
      </c>
      <c r="CA20" s="68">
        <v>174537.03436955999</v>
      </c>
      <c r="CB20" s="68">
        <v>213966.00521547999</v>
      </c>
      <c r="CC20" s="68">
        <v>213456.19759676</v>
      </c>
      <c r="CD20" s="68">
        <v>213492.47538489001</v>
      </c>
      <c r="CE20" s="68">
        <v>220198.57090377001</v>
      </c>
      <c r="CF20" s="68">
        <v>223556.96476367</v>
      </c>
      <c r="CG20" s="68">
        <v>208460.48817552</v>
      </c>
      <c r="CH20" s="68">
        <v>224497.97338705001</v>
      </c>
      <c r="CI20" s="68">
        <v>223572.28565563</v>
      </c>
      <c r="CJ20" s="68">
        <v>220465.63937804999</v>
      </c>
      <c r="CK20" s="68">
        <v>228965.71346802</v>
      </c>
      <c r="CL20" s="68">
        <v>238020.29886707</v>
      </c>
      <c r="CM20" s="82">
        <v>224715.2595167</v>
      </c>
      <c r="CN20" s="82">
        <v>227639.79680469001</v>
      </c>
      <c r="CO20" s="82">
        <v>243207.16829162999</v>
      </c>
      <c r="CP20" s="82">
        <v>254641.49139864999</v>
      </c>
      <c r="CQ20" s="82">
        <v>245208.50805074</v>
      </c>
      <c r="CR20" s="82">
        <v>259187.41627084001</v>
      </c>
      <c r="CS20" s="82">
        <v>248235.98568978001</v>
      </c>
      <c r="CT20" s="82">
        <v>260364.36022664001</v>
      </c>
      <c r="CU20" s="82">
        <v>259748.51392823999</v>
      </c>
      <c r="CV20" s="82">
        <v>259029.86094086</v>
      </c>
      <c r="CW20" s="82">
        <v>260228.03157173001</v>
      </c>
      <c r="CX20" s="82">
        <v>259905.32516728001</v>
      </c>
      <c r="CY20" s="82">
        <v>292158.01536904002</v>
      </c>
      <c r="CZ20" s="82">
        <v>282649.46178508003</v>
      </c>
      <c r="DA20" s="82">
        <v>284624.21641698998</v>
      </c>
      <c r="DB20" s="82">
        <v>276620.61178387998</v>
      </c>
      <c r="DC20" s="82">
        <v>284365.52526839997</v>
      </c>
      <c r="DD20" s="82">
        <v>297118.95812397997</v>
      </c>
      <c r="DE20" s="82">
        <v>255740.40589210999</v>
      </c>
      <c r="DF20" s="82">
        <v>264842.68717034999</v>
      </c>
      <c r="DG20" s="82">
        <v>295567.43413765001</v>
      </c>
    </row>
    <row r="21" spans="1:111" s="72" customFormat="1" x14ac:dyDescent="0.3">
      <c r="A21" s="76" t="s">
        <v>14</v>
      </c>
      <c r="B21" s="65">
        <v>42318.78130337</v>
      </c>
      <c r="C21" s="70">
        <v>42037.423352510006</v>
      </c>
      <c r="D21" s="65">
        <v>41613.059213139997</v>
      </c>
      <c r="E21" s="65">
        <v>41110.225450539998</v>
      </c>
      <c r="F21" s="65">
        <v>41110.225450539998</v>
      </c>
      <c r="G21" s="65">
        <v>40425.142790249993</v>
      </c>
      <c r="H21" s="65">
        <v>41940.809542730007</v>
      </c>
      <c r="I21" s="65">
        <v>43445.391706750008</v>
      </c>
      <c r="J21" s="68">
        <v>45130.89750277</v>
      </c>
      <c r="K21" s="68">
        <v>44012.546245079997</v>
      </c>
      <c r="L21" s="68">
        <v>44352.353241960001</v>
      </c>
      <c r="M21" s="65">
        <v>48737.868085599999</v>
      </c>
      <c r="N21" s="68">
        <v>48939.455210189997</v>
      </c>
      <c r="O21" s="67">
        <v>47166.588978549997</v>
      </c>
      <c r="P21" s="67">
        <v>47292.600319210003</v>
      </c>
      <c r="Q21" s="67">
        <v>46682.176698809999</v>
      </c>
      <c r="R21" s="67">
        <v>45621.74452729</v>
      </c>
      <c r="S21" s="67">
        <v>46959.453809070001</v>
      </c>
      <c r="T21" s="67">
        <v>47641.224815790003</v>
      </c>
      <c r="U21" s="67">
        <v>50020.227661299999</v>
      </c>
      <c r="V21" s="67">
        <v>61608.413712840003</v>
      </c>
      <c r="W21" s="67">
        <v>57876.941251359996</v>
      </c>
      <c r="X21" s="67">
        <v>60281.75935239</v>
      </c>
      <c r="Y21" s="67">
        <v>59147.452502699998</v>
      </c>
      <c r="Z21" s="67">
        <v>59553.125902829997</v>
      </c>
      <c r="AA21" s="67">
        <v>57772.596297169999</v>
      </c>
      <c r="AB21" s="67">
        <v>58612.215865940001</v>
      </c>
      <c r="AC21" s="67">
        <v>57771.759823369997</v>
      </c>
      <c r="AD21" s="67">
        <v>58013.664316360002</v>
      </c>
      <c r="AE21" s="67">
        <v>56739.21738984</v>
      </c>
      <c r="AF21" s="67">
        <v>54585.151077390001</v>
      </c>
      <c r="AG21" s="67">
        <v>55055.850611000002</v>
      </c>
      <c r="AH21" s="67">
        <v>52726.509877069999</v>
      </c>
      <c r="AI21" s="67">
        <v>60601.447444849997</v>
      </c>
      <c r="AJ21" s="67">
        <v>60363.96471108</v>
      </c>
      <c r="AK21" s="67">
        <v>59654.507379080002</v>
      </c>
      <c r="AL21" s="67">
        <v>62938.953386480003</v>
      </c>
      <c r="AM21" s="67">
        <v>62222.482381230002</v>
      </c>
      <c r="AN21" s="67">
        <v>69616.162359220005</v>
      </c>
      <c r="AO21" s="67">
        <v>67074.615523050001</v>
      </c>
      <c r="AP21" s="67">
        <v>68105.022945560006</v>
      </c>
      <c r="AQ21" s="67">
        <v>68091.338682310001</v>
      </c>
      <c r="AR21" s="67">
        <v>70899.125814600004</v>
      </c>
      <c r="AS21" s="67">
        <v>70674.347792939996</v>
      </c>
      <c r="AT21" s="67">
        <v>72544.753086099998</v>
      </c>
      <c r="AU21" s="67">
        <v>54313.04717808</v>
      </c>
      <c r="AV21" s="67">
        <v>31605.264953729999</v>
      </c>
      <c r="AW21" s="67">
        <v>29471.474350429999</v>
      </c>
      <c r="AX21" s="67">
        <v>29397.198352399999</v>
      </c>
      <c r="AY21" s="67">
        <v>28810.809668710001</v>
      </c>
      <c r="AZ21" s="67">
        <v>28702.179908260001</v>
      </c>
      <c r="BA21" s="67">
        <v>28642.72295598</v>
      </c>
      <c r="BB21" s="67">
        <v>28128.818842069999</v>
      </c>
      <c r="BC21" s="67">
        <v>27522.198765779998</v>
      </c>
      <c r="BD21" s="67">
        <v>27094.93533588</v>
      </c>
      <c r="BE21" s="67">
        <v>27257.222076980001</v>
      </c>
      <c r="BF21" s="67">
        <v>27079.16095655</v>
      </c>
      <c r="BG21" s="67">
        <v>26510.809041569999</v>
      </c>
      <c r="BH21" s="67">
        <v>27351.156821479999</v>
      </c>
      <c r="BI21" s="67">
        <v>24031.446753079999</v>
      </c>
      <c r="BJ21" s="67">
        <v>28760.229709660001</v>
      </c>
      <c r="BK21" s="67">
        <v>23916.815549890001</v>
      </c>
      <c r="BL21" s="67">
        <v>21234.320305509998</v>
      </c>
      <c r="BM21" s="67">
        <v>21148.84785446</v>
      </c>
      <c r="BN21" s="67">
        <v>25335.940392969998</v>
      </c>
      <c r="BO21" s="67">
        <v>24810.837101900001</v>
      </c>
      <c r="BP21" s="67">
        <v>30312.742416820001</v>
      </c>
      <c r="BQ21" s="67">
        <v>30284.737533240001</v>
      </c>
      <c r="BR21" s="67">
        <v>30237.273611209999</v>
      </c>
      <c r="BS21" s="67">
        <v>30302.050523530001</v>
      </c>
      <c r="BT21" s="67">
        <v>30331.741627880001</v>
      </c>
      <c r="BU21" s="67">
        <v>22772.38995402</v>
      </c>
      <c r="BV21" s="67">
        <v>28285.549690560001</v>
      </c>
      <c r="BW21" s="67">
        <v>28311.96568325</v>
      </c>
      <c r="BX21" s="67">
        <v>28398.277842420001</v>
      </c>
      <c r="BY21" s="67">
        <v>28461.137979939998</v>
      </c>
      <c r="BZ21" s="67">
        <v>28465.332995829998</v>
      </c>
      <c r="CA21" s="67">
        <v>28488.033784120002</v>
      </c>
      <c r="CB21" s="67">
        <v>28665.920030109999</v>
      </c>
      <c r="CC21" s="67">
        <v>28272.04250195</v>
      </c>
      <c r="CD21" s="67">
        <v>31597.108750449999</v>
      </c>
      <c r="CE21" s="67">
        <v>31665.544139080001</v>
      </c>
      <c r="CF21" s="67">
        <v>32004.27266758</v>
      </c>
      <c r="CG21" s="67">
        <v>26506.78219618</v>
      </c>
      <c r="CH21" s="67">
        <v>40448.507894089998</v>
      </c>
      <c r="CI21" s="67">
        <v>40875.233595160003</v>
      </c>
      <c r="CJ21" s="67">
        <v>34972.82442954</v>
      </c>
      <c r="CK21" s="67">
        <v>42924.44708392</v>
      </c>
      <c r="CL21" s="67">
        <v>47847.947353490003</v>
      </c>
      <c r="CM21" s="66">
        <v>36416.295659149997</v>
      </c>
      <c r="CN21" s="66">
        <v>37011.302118649997</v>
      </c>
      <c r="CO21" s="66">
        <v>37592.756007340002</v>
      </c>
      <c r="CP21" s="66">
        <v>49456.209322679999</v>
      </c>
      <c r="CQ21" s="66">
        <v>43192.344524250002</v>
      </c>
      <c r="CR21" s="66">
        <v>46944.207458019999</v>
      </c>
      <c r="CS21" s="66">
        <v>43899.582507389998</v>
      </c>
      <c r="CT21" s="66">
        <v>56582.89775887</v>
      </c>
      <c r="CU21" s="66">
        <v>56290.757971660001</v>
      </c>
      <c r="CV21" s="66">
        <v>55179.465020739997</v>
      </c>
      <c r="CW21" s="66">
        <v>55762.999942909999</v>
      </c>
      <c r="CX21" s="66">
        <v>56561.362898389998</v>
      </c>
      <c r="CY21" s="66">
        <v>83935.420453729996</v>
      </c>
      <c r="CZ21" s="66">
        <v>78344.851754040006</v>
      </c>
      <c r="DA21" s="66">
        <v>76749.105975240003</v>
      </c>
      <c r="DB21" s="66">
        <v>75947.179224239997</v>
      </c>
      <c r="DC21" s="66">
        <v>72444.036738199997</v>
      </c>
      <c r="DD21" s="66">
        <v>77246.888327590001</v>
      </c>
      <c r="DE21" s="66">
        <v>55604.222442140002</v>
      </c>
      <c r="DF21" s="66">
        <v>61572.217513160002</v>
      </c>
      <c r="DG21" s="66">
        <v>69199.662370310005</v>
      </c>
    </row>
    <row r="22" spans="1:111" s="72" customFormat="1" ht="18" customHeight="1" x14ac:dyDescent="0.3">
      <c r="A22" s="177" t="s">
        <v>15</v>
      </c>
      <c r="B22" s="65">
        <f>B20-B21</f>
        <v>10509.181666670003</v>
      </c>
      <c r="C22" s="65">
        <f t="shared" ref="C22:I22" si="5">C20-C21</f>
        <v>154966.16323129006</v>
      </c>
      <c r="D22" s="65">
        <f t="shared" si="5"/>
        <v>156269.32611008</v>
      </c>
      <c r="E22" s="65">
        <f t="shared" si="5"/>
        <v>156229.77720960003</v>
      </c>
      <c r="F22" s="65">
        <f t="shared" si="5"/>
        <v>156502.07850554987</v>
      </c>
      <c r="G22" s="65">
        <f t="shared" si="5"/>
        <v>156520.87018434002</v>
      </c>
      <c r="H22" s="65">
        <f t="shared" si="5"/>
        <v>151626.54681954003</v>
      </c>
      <c r="I22" s="65">
        <f t="shared" si="5"/>
        <v>150862.75015715</v>
      </c>
      <c r="J22" s="68">
        <v>156075.92877716004</v>
      </c>
      <c r="K22" s="68">
        <v>164815.54906532</v>
      </c>
      <c r="L22" s="68">
        <v>167652.86786428001</v>
      </c>
      <c r="M22" s="65">
        <v>177802.30834195</v>
      </c>
      <c r="N22" s="66">
        <v>189919.46794027</v>
      </c>
      <c r="O22" s="67">
        <v>181003.56947634002</v>
      </c>
      <c r="P22" s="67">
        <v>187769.99541194001</v>
      </c>
      <c r="Q22" s="67">
        <v>188881.35536044999</v>
      </c>
      <c r="R22" s="67">
        <v>188252.15718383002</v>
      </c>
      <c r="S22" s="67">
        <v>190516.36961337001</v>
      </c>
      <c r="T22" s="67">
        <v>197459.18495362997</v>
      </c>
      <c r="U22" s="67">
        <v>212447.37266490003</v>
      </c>
      <c r="V22" s="67">
        <v>215033.31186462997</v>
      </c>
      <c r="W22" s="67">
        <v>216634.52471900999</v>
      </c>
      <c r="X22" s="67">
        <v>220141.84636927</v>
      </c>
      <c r="Y22" s="67">
        <v>218941.62000522998</v>
      </c>
      <c r="Z22" s="67">
        <v>220265.71512757003</v>
      </c>
      <c r="AA22" s="67">
        <v>217143.27528002</v>
      </c>
      <c r="AB22" s="67">
        <v>225591.53049026997</v>
      </c>
      <c r="AC22" s="67">
        <v>211148.95127527</v>
      </c>
      <c r="AD22" s="67">
        <v>212119.57045311001</v>
      </c>
      <c r="AE22" s="67">
        <v>206343.81416928</v>
      </c>
      <c r="AF22" s="67">
        <v>203396.90808676998</v>
      </c>
      <c r="AG22" s="67">
        <v>203894.05095420001</v>
      </c>
      <c r="AH22" s="67">
        <v>193948.03376570001</v>
      </c>
      <c r="AI22" s="67">
        <v>201580.10788421001</v>
      </c>
      <c r="AJ22" s="67">
        <v>190918.10283728997</v>
      </c>
      <c r="AK22" s="67">
        <v>184340.27098910001</v>
      </c>
      <c r="AL22" s="67">
        <v>194566.65767163999</v>
      </c>
      <c r="AM22" s="67">
        <v>191596.01316117001</v>
      </c>
      <c r="AN22" s="67">
        <v>207167.32682863998</v>
      </c>
      <c r="AO22" s="67">
        <v>198819.73597141</v>
      </c>
      <c r="AP22" s="67">
        <v>198398.50296935003</v>
      </c>
      <c r="AQ22" s="67">
        <v>175330.59834324999</v>
      </c>
      <c r="AR22" s="67">
        <v>182425.19910904</v>
      </c>
      <c r="AS22" s="67">
        <v>185496.85734188999</v>
      </c>
      <c r="AT22" s="67">
        <v>168327.29834073997</v>
      </c>
      <c r="AU22" s="67">
        <v>171346.05371658999</v>
      </c>
      <c r="AV22" s="67">
        <v>168751.46169353</v>
      </c>
      <c r="AW22" s="67">
        <v>162371.50427005999</v>
      </c>
      <c r="AX22" s="67">
        <v>162598.97050940999</v>
      </c>
      <c r="AY22" s="67">
        <v>163788.92322687001</v>
      </c>
      <c r="AZ22" s="67">
        <v>158886.63508497999</v>
      </c>
      <c r="BA22" s="67">
        <v>159266.06950148</v>
      </c>
      <c r="BB22" s="67">
        <v>147699.81445832999</v>
      </c>
      <c r="BC22" s="67">
        <v>140551.44995079</v>
      </c>
      <c r="BD22" s="67">
        <v>137801.28150703001</v>
      </c>
      <c r="BE22" s="67">
        <v>144046.06707462002</v>
      </c>
      <c r="BF22" s="67">
        <v>131733.04637411999</v>
      </c>
      <c r="BG22" s="67">
        <v>133952.23887175001</v>
      </c>
      <c r="BH22" s="67">
        <v>121600.22153127001</v>
      </c>
      <c r="BI22" s="67">
        <v>121835.53365502</v>
      </c>
      <c r="BJ22" s="67">
        <v>131515.90411160002</v>
      </c>
      <c r="BK22" s="67">
        <v>130367.85394934997</v>
      </c>
      <c r="BL22" s="67">
        <v>127393.32111942001</v>
      </c>
      <c r="BM22" s="67">
        <v>121666.49991786998</v>
      </c>
      <c r="BN22" s="67">
        <v>121194.3473618</v>
      </c>
      <c r="BO22" s="67">
        <v>123253.64942284</v>
      </c>
      <c r="BP22" s="67">
        <v>163752.28177256</v>
      </c>
      <c r="BQ22" s="67">
        <v>153213.59501543999</v>
      </c>
      <c r="BR22" s="67">
        <v>156917.64503148</v>
      </c>
      <c r="BS22" s="67">
        <v>152148.06611471</v>
      </c>
      <c r="BT22" s="67">
        <v>152467.09541150002</v>
      </c>
      <c r="BU22" s="67">
        <v>146415.24330218</v>
      </c>
      <c r="BV22" s="67">
        <v>156978.60826057999</v>
      </c>
      <c r="BW22" s="67">
        <v>155233.21555534002</v>
      </c>
      <c r="BX22" s="67">
        <v>154867.86591046999</v>
      </c>
      <c r="BY22" s="67">
        <v>153502.82202923001</v>
      </c>
      <c r="BZ22" s="67">
        <v>149009.74120720002</v>
      </c>
      <c r="CA22" s="67">
        <v>146049.00058543999</v>
      </c>
      <c r="CB22" s="67">
        <v>185300.08518537</v>
      </c>
      <c r="CC22" s="67">
        <v>185184.15509481</v>
      </c>
      <c r="CD22" s="67">
        <v>181895.36663444003</v>
      </c>
      <c r="CE22" s="67">
        <v>188533.02676469</v>
      </c>
      <c r="CF22" s="67">
        <v>191552.69209609</v>
      </c>
      <c r="CG22" s="67">
        <v>181953.70597934001</v>
      </c>
      <c r="CH22" s="67">
        <v>184049.46549296001</v>
      </c>
      <c r="CI22" s="67">
        <v>182697.05206046999</v>
      </c>
      <c r="CJ22" s="67">
        <v>185492.81494851</v>
      </c>
      <c r="CK22" s="67">
        <v>186041.26638409999</v>
      </c>
      <c r="CL22" s="67">
        <v>190172.35151358001</v>
      </c>
      <c r="CM22" s="66">
        <v>188298.96385755</v>
      </c>
      <c r="CN22" s="66">
        <v>190628.49468604001</v>
      </c>
      <c r="CO22" s="66">
        <v>205614.41228428998</v>
      </c>
      <c r="CP22" s="66">
        <v>205185.28207597</v>
      </c>
      <c r="CQ22" s="66">
        <v>202016.16352648998</v>
      </c>
      <c r="CR22" s="66">
        <v>212243.20881282003</v>
      </c>
      <c r="CS22" s="66">
        <v>204336.40318239</v>
      </c>
      <c r="CT22" s="66">
        <v>203781.46246777</v>
      </c>
      <c r="CU22" s="66">
        <v>203457.75595657999</v>
      </c>
      <c r="CV22" s="66">
        <v>203850.39592012001</v>
      </c>
      <c r="CW22" s="66">
        <v>204465.03162882</v>
      </c>
      <c r="CX22" s="66">
        <v>203343.96226889</v>
      </c>
      <c r="CY22" s="66">
        <v>208222.59491531004</v>
      </c>
      <c r="CZ22" s="66">
        <v>204304.61003104004</v>
      </c>
      <c r="DA22" s="66">
        <v>207875.11044174997</v>
      </c>
      <c r="DB22" s="66">
        <v>200673.43255963997</v>
      </c>
      <c r="DC22" s="66">
        <v>211921.48853019997</v>
      </c>
      <c r="DD22" s="66">
        <v>219872.06979638996</v>
      </c>
      <c r="DE22" s="66">
        <v>200136.18344996998</v>
      </c>
      <c r="DF22" s="66">
        <v>203270.46965719</v>
      </c>
      <c r="DG22" s="66">
        <v>226367.77176734002</v>
      </c>
    </row>
    <row r="23" spans="1:111" s="72" customFormat="1" x14ac:dyDescent="0.3">
      <c r="A23" s="69" t="s">
        <v>16</v>
      </c>
      <c r="B23" s="65">
        <v>270789.72975315008</v>
      </c>
      <c r="C23" s="65">
        <v>262434.25376869016</v>
      </c>
      <c r="D23" s="65">
        <v>255123.30281361003</v>
      </c>
      <c r="E23" s="65">
        <v>250354.14476600016</v>
      </c>
      <c r="F23" s="65">
        <v>243250.10209275005</v>
      </c>
      <c r="G23" s="65">
        <v>235739.56985666012</v>
      </c>
      <c r="H23" s="65">
        <v>232356.71637721997</v>
      </c>
      <c r="I23" s="65">
        <v>225637.99463280011</v>
      </c>
      <c r="J23" s="68">
        <v>228940.41828218009</v>
      </c>
      <c r="K23" s="68">
        <v>228674.41107952999</v>
      </c>
      <c r="L23" s="68">
        <v>223693.68561238999</v>
      </c>
      <c r="M23" s="65">
        <v>223494.22699143999</v>
      </c>
      <c r="N23" s="68">
        <v>240379.72087928001</v>
      </c>
      <c r="O23" s="67">
        <v>233594.74156950001</v>
      </c>
      <c r="P23" s="67">
        <v>229250.16919613001</v>
      </c>
      <c r="Q23" s="67">
        <v>225057.87529093001</v>
      </c>
      <c r="R23" s="67">
        <v>224852.33514407001</v>
      </c>
      <c r="S23" s="67">
        <v>225210.41865278</v>
      </c>
      <c r="T23" s="67">
        <v>230926.63548512</v>
      </c>
      <c r="U23" s="67">
        <v>241457.26067282999</v>
      </c>
      <c r="V23" s="67">
        <v>243928.15827854001</v>
      </c>
      <c r="W23" s="67">
        <v>245163.65374944001</v>
      </c>
      <c r="X23" s="67">
        <v>228739.91591869001</v>
      </c>
      <c r="Y23" s="67">
        <v>215637.66660488001</v>
      </c>
      <c r="Z23" s="67">
        <v>222555.5619728</v>
      </c>
      <c r="AA23" s="67">
        <v>199412.56935460001</v>
      </c>
      <c r="AB23" s="67">
        <v>200931.16094656</v>
      </c>
      <c r="AC23" s="67">
        <v>192405.64139203</v>
      </c>
      <c r="AD23" s="67">
        <v>194816.36316328999</v>
      </c>
      <c r="AE23" s="67">
        <v>191792.90543747999</v>
      </c>
      <c r="AF23" s="67">
        <v>184209.49591683</v>
      </c>
      <c r="AG23" s="67">
        <v>185512.62285034999</v>
      </c>
      <c r="AH23" s="67">
        <v>170891.18418869999</v>
      </c>
      <c r="AI23" s="67">
        <v>175251.37747586</v>
      </c>
      <c r="AJ23" s="67">
        <v>167490.64910161999</v>
      </c>
      <c r="AK23" s="67">
        <v>159826.45766529001</v>
      </c>
      <c r="AL23" s="67">
        <v>167242.94621065</v>
      </c>
      <c r="AM23" s="67">
        <v>163859.82313236999</v>
      </c>
      <c r="AN23" s="67">
        <v>185903.78386842</v>
      </c>
      <c r="AO23" s="67">
        <v>177841.12520752</v>
      </c>
      <c r="AP23" s="67">
        <v>175527.67340612999</v>
      </c>
      <c r="AQ23" s="67">
        <v>171152.20509884</v>
      </c>
      <c r="AR23" s="67">
        <v>185028.97865986999</v>
      </c>
      <c r="AS23" s="67">
        <v>184180.32232450001</v>
      </c>
      <c r="AT23" s="67">
        <v>173531.50441045</v>
      </c>
      <c r="AU23" s="67">
        <v>166590.27834726</v>
      </c>
      <c r="AV23" s="67">
        <v>165278.34043367999</v>
      </c>
      <c r="AW23" s="67">
        <v>160665.31820171999</v>
      </c>
      <c r="AX23" s="67">
        <v>164626.80468157999</v>
      </c>
      <c r="AY23" s="67">
        <v>160411.13594966001</v>
      </c>
      <c r="AZ23" s="67">
        <v>157966.52431946</v>
      </c>
      <c r="BA23" s="67">
        <v>162369.23047608999</v>
      </c>
      <c r="BB23" s="67">
        <v>158394.60528331</v>
      </c>
      <c r="BC23" s="67">
        <v>155006.43856742</v>
      </c>
      <c r="BD23" s="67">
        <v>147685.06742444</v>
      </c>
      <c r="BE23" s="67">
        <v>150689.89895510999</v>
      </c>
      <c r="BF23" s="67">
        <v>148821.25870489</v>
      </c>
      <c r="BG23" s="67">
        <v>150288.59225089001</v>
      </c>
      <c r="BH23" s="67">
        <v>163391.30653910001</v>
      </c>
      <c r="BI23" s="67">
        <v>159161.38019826001</v>
      </c>
      <c r="BJ23" s="67">
        <v>171310.19176404001</v>
      </c>
      <c r="BK23" s="67">
        <v>0</v>
      </c>
      <c r="BL23" s="67">
        <v>110110.00819148999</v>
      </c>
      <c r="BM23" s="67">
        <v>109721.50592094001</v>
      </c>
      <c r="BN23" s="67">
        <v>108435.00019495</v>
      </c>
      <c r="BO23" s="67">
        <v>109163.7046438</v>
      </c>
      <c r="BP23" s="67">
        <v>130937.25291816</v>
      </c>
      <c r="BQ23" s="67">
        <v>130125.41662708001</v>
      </c>
      <c r="BR23" s="67">
        <v>124134.44911874</v>
      </c>
      <c r="BS23" s="67">
        <v>125062.99263558</v>
      </c>
      <c r="BT23" s="67">
        <v>124415.3360441</v>
      </c>
      <c r="BU23" s="67">
        <v>127107.58707430999</v>
      </c>
      <c r="BV23" s="67">
        <v>123624.64337879</v>
      </c>
      <c r="BW23" s="67">
        <v>119740.95790391001</v>
      </c>
      <c r="BX23" s="67">
        <v>117778.47761366</v>
      </c>
      <c r="BY23" s="67">
        <v>115454.78903467</v>
      </c>
      <c r="BZ23" s="67">
        <v>109521.27979155</v>
      </c>
      <c r="CA23" s="67">
        <v>107794.7218802</v>
      </c>
      <c r="CB23" s="67">
        <v>68450.967831849994</v>
      </c>
      <c r="CC23" s="67">
        <v>69245.140661819998</v>
      </c>
      <c r="CD23" s="67">
        <v>69198.655162890005</v>
      </c>
      <c r="CE23" s="67">
        <v>69757.204213129997</v>
      </c>
      <c r="CF23" s="67">
        <v>68651.158368189994</v>
      </c>
      <c r="CG23" s="67">
        <v>69459.462907759997</v>
      </c>
      <c r="CH23" s="67">
        <v>69163.232680550005</v>
      </c>
      <c r="CI23" s="67">
        <v>69891.402966270005</v>
      </c>
      <c r="CJ23" s="67">
        <v>71124.271155259994</v>
      </c>
      <c r="CK23" s="67">
        <v>70858.669802689998</v>
      </c>
      <c r="CL23" s="67">
        <v>68848.486096799999</v>
      </c>
      <c r="CM23" s="66">
        <v>71762.570286229995</v>
      </c>
      <c r="CN23" s="66">
        <v>73467.145587709994</v>
      </c>
      <c r="CO23" s="66">
        <v>71657.297020929997</v>
      </c>
      <c r="CP23" s="66">
        <v>71443.36747641</v>
      </c>
      <c r="CQ23" s="66">
        <v>72753.900649560004</v>
      </c>
      <c r="CR23" s="66">
        <v>80410.270782089996</v>
      </c>
      <c r="CS23" s="66">
        <v>86418.505168830001</v>
      </c>
      <c r="CT23" s="66">
        <v>73855.30463893</v>
      </c>
      <c r="CU23" s="66">
        <v>69075.692170590002</v>
      </c>
      <c r="CV23" s="66">
        <v>65770.919978549995</v>
      </c>
      <c r="CW23" s="66">
        <v>70852.989217010007</v>
      </c>
      <c r="CX23" s="66">
        <v>67070.316830249998</v>
      </c>
      <c r="CY23" s="66">
        <v>64179.227081019999</v>
      </c>
      <c r="CZ23" s="66">
        <v>70773.236395200001</v>
      </c>
      <c r="DA23" s="66">
        <v>72721.033863439996</v>
      </c>
      <c r="DB23" s="66">
        <v>73470.063759440003</v>
      </c>
      <c r="DC23" s="66">
        <v>80174.041414210005</v>
      </c>
      <c r="DD23" s="66">
        <v>79776.282703339995</v>
      </c>
      <c r="DE23" s="66">
        <v>80992.331862699997</v>
      </c>
      <c r="DF23" s="66">
        <v>80146.475343269994</v>
      </c>
      <c r="DG23" s="66">
        <v>81522.906662309993</v>
      </c>
    </row>
    <row r="24" spans="1:111" s="63" customFormat="1" x14ac:dyDescent="0.3">
      <c r="A24" s="57" t="s">
        <v>17</v>
      </c>
      <c r="B24" s="65">
        <v>59318.731383590028</v>
      </c>
      <c r="C24" s="65">
        <v>59256.543274449992</v>
      </c>
      <c r="D24" s="65">
        <v>57209.070460610019</v>
      </c>
      <c r="E24" s="65">
        <v>54802.826432270034</v>
      </c>
      <c r="F24" s="65">
        <v>54256.247982209992</v>
      </c>
      <c r="G24" s="65">
        <v>54541.696566609935</v>
      </c>
      <c r="H24" s="65">
        <v>54160.769403670034</v>
      </c>
      <c r="I24" s="65">
        <v>53923.834692800025</v>
      </c>
      <c r="J24" s="60">
        <v>54999.769569390017</v>
      </c>
      <c r="K24" s="60">
        <v>56095.703561570001</v>
      </c>
      <c r="L24" s="60">
        <v>56402.769373280003</v>
      </c>
      <c r="M24" s="65">
        <v>60699.561777399998</v>
      </c>
      <c r="N24" s="67">
        <v>61628.908059640002</v>
      </c>
      <c r="O24" s="66">
        <v>58851.886020849997</v>
      </c>
      <c r="P24" s="66">
        <v>57295.649142089998</v>
      </c>
      <c r="Q24" s="66">
        <v>57127.763845939997</v>
      </c>
      <c r="R24" s="66">
        <v>56012.835910070004</v>
      </c>
      <c r="S24" s="66">
        <v>55608.206836700003</v>
      </c>
      <c r="T24" s="66">
        <v>55739.722344449998</v>
      </c>
      <c r="U24" s="66">
        <v>58591.928732649998</v>
      </c>
      <c r="V24" s="66">
        <v>60845.393139250002</v>
      </c>
      <c r="W24" s="66">
        <v>59809.469431409998</v>
      </c>
      <c r="X24" s="66">
        <v>59026.037216090001</v>
      </c>
      <c r="Y24" s="66">
        <v>57260.01217396</v>
      </c>
      <c r="Z24" s="66">
        <v>56283.016528239998</v>
      </c>
      <c r="AA24" s="66">
        <v>54021.908552569999</v>
      </c>
      <c r="AB24" s="66">
        <v>55632.783552039997</v>
      </c>
      <c r="AC24" s="66">
        <v>57611.496797740001</v>
      </c>
      <c r="AD24" s="66">
        <v>55860.059801559997</v>
      </c>
      <c r="AE24" s="66">
        <v>54877.277389100003</v>
      </c>
      <c r="AF24" s="66">
        <v>54737.050172429997</v>
      </c>
      <c r="AG24" s="66">
        <v>55127.252294029997</v>
      </c>
      <c r="AH24" s="66">
        <v>51380.14767305</v>
      </c>
      <c r="AI24" s="66">
        <v>55571.613959490001</v>
      </c>
      <c r="AJ24" s="66">
        <v>52794.185232620002</v>
      </c>
      <c r="AK24" s="66">
        <v>49778.84426179</v>
      </c>
      <c r="AL24" s="66">
        <v>52731.198346750003</v>
      </c>
      <c r="AM24" s="66">
        <v>53595.099068919997</v>
      </c>
      <c r="AN24" s="66">
        <v>58688.477003690001</v>
      </c>
      <c r="AO24" s="66">
        <v>55595.849253449996</v>
      </c>
      <c r="AP24" s="66">
        <v>53855.311990779999</v>
      </c>
      <c r="AQ24" s="66">
        <v>53223.645418089996</v>
      </c>
      <c r="AR24" s="66">
        <v>55132.028233309997</v>
      </c>
      <c r="AS24" s="66">
        <v>55035.197750580002</v>
      </c>
      <c r="AT24" s="66">
        <v>57012.180296929997</v>
      </c>
      <c r="AU24" s="66">
        <v>57890.538912240001</v>
      </c>
      <c r="AV24" s="66">
        <v>58231.424232570003</v>
      </c>
      <c r="AW24" s="66">
        <v>54723.0904113</v>
      </c>
      <c r="AX24" s="66">
        <v>53649.549376219999</v>
      </c>
      <c r="AY24" s="66">
        <v>53549.942680460001</v>
      </c>
      <c r="AZ24" s="66">
        <v>52510.30951526</v>
      </c>
      <c r="BA24" s="66">
        <v>53266.059717739998</v>
      </c>
      <c r="BB24" s="66">
        <v>52970.991169840003</v>
      </c>
      <c r="BC24" s="66">
        <v>52932.996423520002</v>
      </c>
      <c r="BD24" s="66">
        <v>52269.10152602</v>
      </c>
      <c r="BE24" s="66">
        <v>52701.058651810003</v>
      </c>
      <c r="BF24" s="66">
        <v>54507.500436759998</v>
      </c>
      <c r="BG24" s="66">
        <v>55005.293807000002</v>
      </c>
      <c r="BH24" s="66">
        <v>55711.000527249998</v>
      </c>
      <c r="BI24" s="66">
        <v>56870.939856079996</v>
      </c>
      <c r="BJ24" s="66">
        <v>58211.644915860001</v>
      </c>
      <c r="BK24" s="66">
        <v>61846.02085943002</v>
      </c>
      <c r="BL24" s="66">
        <v>60580.549912930001</v>
      </c>
      <c r="BM24" s="66">
        <v>59352.775477529998</v>
      </c>
      <c r="BN24" s="66">
        <v>58981.009222000001</v>
      </c>
      <c r="BO24" s="66">
        <v>55125.548050999998</v>
      </c>
      <c r="BP24" s="66">
        <v>66843.407280090003</v>
      </c>
      <c r="BQ24" s="66">
        <v>68384.096641919998</v>
      </c>
      <c r="BR24" s="66">
        <v>67734.245028139994</v>
      </c>
      <c r="BS24" s="66">
        <v>69146.862125140004</v>
      </c>
      <c r="BT24" s="66">
        <v>69872.998586369999</v>
      </c>
      <c r="BU24" s="66">
        <v>62917.934549639998</v>
      </c>
      <c r="BV24" s="66">
        <v>65251.586293460001</v>
      </c>
      <c r="BW24" s="66">
        <v>63100.205849780003</v>
      </c>
      <c r="BX24" s="66">
        <v>61676.618614049999</v>
      </c>
      <c r="BY24" s="66">
        <v>61408.577533559997</v>
      </c>
      <c r="BZ24" s="66">
        <v>61694.803770010003</v>
      </c>
      <c r="CA24" s="66">
        <v>61130.579590280002</v>
      </c>
      <c r="CB24" s="66">
        <v>62031.071319360002</v>
      </c>
      <c r="CC24" s="66">
        <v>65306.080664820001</v>
      </c>
      <c r="CD24" s="66">
        <v>63980.218368989998</v>
      </c>
      <c r="CE24" s="66">
        <v>65786.9680104</v>
      </c>
      <c r="CF24" s="66">
        <v>66545.318851279997</v>
      </c>
      <c r="CG24" s="66">
        <v>70273.697375720003</v>
      </c>
      <c r="CH24" s="66">
        <v>65439.111227289999</v>
      </c>
      <c r="CI24" s="66">
        <v>64870.077675319997</v>
      </c>
      <c r="CJ24" s="66">
        <v>71022.803934109994</v>
      </c>
      <c r="CK24" s="66">
        <v>70430.001838850003</v>
      </c>
      <c r="CL24" s="66">
        <v>70563.457198720003</v>
      </c>
      <c r="CM24" s="61">
        <v>67615.759511790005</v>
      </c>
      <c r="CN24" s="61">
        <v>70049.227666370003</v>
      </c>
      <c r="CO24" s="61">
        <v>71527.020770279996</v>
      </c>
      <c r="CP24" s="61">
        <v>72947.119792469995</v>
      </c>
      <c r="CQ24" s="61">
        <v>72474.419211350003</v>
      </c>
      <c r="CR24" s="61">
        <v>74199.148223290002</v>
      </c>
      <c r="CS24" s="61">
        <v>78213.114339809996</v>
      </c>
      <c r="CT24" s="61">
        <v>76654.784819520006</v>
      </c>
      <c r="CU24" s="61">
        <v>79714.242231779994</v>
      </c>
      <c r="CV24" s="61">
        <v>80160.068156959998</v>
      </c>
      <c r="CW24" s="61">
        <v>82007.578448369997</v>
      </c>
      <c r="CX24" s="61">
        <v>80487.992884930005</v>
      </c>
      <c r="CY24" s="61">
        <v>81540.656488389999</v>
      </c>
      <c r="CZ24" s="61">
        <v>81092.998375419993</v>
      </c>
      <c r="DA24" s="61">
        <v>82538.647601610006</v>
      </c>
      <c r="DB24" s="61">
        <v>82100.372167459995</v>
      </c>
      <c r="DC24" s="61">
        <v>83267.153553230004</v>
      </c>
      <c r="DD24" s="61">
        <v>85936.535234490002</v>
      </c>
      <c r="DE24" s="61">
        <v>93050.115719089998</v>
      </c>
      <c r="DF24" s="61">
        <v>90895.225348709995</v>
      </c>
      <c r="DG24" s="61">
        <v>92979.027765020001</v>
      </c>
    </row>
    <row r="25" spans="1:111" s="72" customFormat="1" x14ac:dyDescent="0.3">
      <c r="A25" s="71" t="s">
        <v>18</v>
      </c>
      <c r="B25" s="66">
        <v>11501.793406679999</v>
      </c>
      <c r="C25" s="68">
        <v>8519.4999330900009</v>
      </c>
      <c r="D25" s="68">
        <v>8536.5944246500003</v>
      </c>
      <c r="E25" s="66">
        <v>6014.4351503599983</v>
      </c>
      <c r="F25" s="66">
        <v>9673.2331902400019</v>
      </c>
      <c r="G25" s="66">
        <v>8385.80401747</v>
      </c>
      <c r="H25" s="66">
        <v>8413.6373428799998</v>
      </c>
      <c r="I25" s="68">
        <v>8303.6135622299989</v>
      </c>
      <c r="J25" s="65">
        <v>8628.7380980199996</v>
      </c>
      <c r="K25" s="65">
        <v>8742.8008880300004</v>
      </c>
      <c r="L25" s="65">
        <v>8851.2797415799996</v>
      </c>
      <c r="M25" s="66">
        <v>4444.1037886800004</v>
      </c>
      <c r="N25" s="67">
        <v>4475.6434975800003</v>
      </c>
      <c r="O25" s="66">
        <v>4332.9380614499996</v>
      </c>
      <c r="P25" s="68">
        <v>4297.4253048</v>
      </c>
      <c r="Q25" s="68">
        <v>4273.6874663500002</v>
      </c>
      <c r="R25" s="68">
        <v>4277.3304985699997</v>
      </c>
      <c r="S25" s="68">
        <v>3626.7751477299998</v>
      </c>
      <c r="T25" s="68">
        <v>3705.3578570499999</v>
      </c>
      <c r="U25" s="68">
        <v>3916.58622281</v>
      </c>
      <c r="V25" s="68">
        <v>3919.4497264800002</v>
      </c>
      <c r="W25" s="68">
        <v>3895.2168450300001</v>
      </c>
      <c r="X25" s="68">
        <v>22908.449377299999</v>
      </c>
      <c r="Y25" s="68">
        <v>3830.7318729600001</v>
      </c>
      <c r="Z25" s="68">
        <v>3839.61857009</v>
      </c>
      <c r="AA25" s="68">
        <v>3733.3995369700001</v>
      </c>
      <c r="AB25" s="68">
        <v>3766.04298629</v>
      </c>
      <c r="AC25" s="68">
        <v>3677.52164451</v>
      </c>
      <c r="AD25" s="68">
        <v>0</v>
      </c>
      <c r="AE25" s="68">
        <v>0</v>
      </c>
      <c r="AF25" s="68">
        <v>0</v>
      </c>
      <c r="AG25" s="68">
        <v>0</v>
      </c>
      <c r="AH25" s="68">
        <v>0</v>
      </c>
      <c r="AI25" s="68">
        <v>0</v>
      </c>
      <c r="AJ25" s="68">
        <v>0</v>
      </c>
      <c r="AK25" s="68">
        <v>0</v>
      </c>
      <c r="AL25" s="68">
        <v>0</v>
      </c>
      <c r="AM25" s="68">
        <v>0</v>
      </c>
      <c r="AN25" s="68">
        <v>0</v>
      </c>
      <c r="AO25" s="68">
        <v>0</v>
      </c>
      <c r="AP25" s="68">
        <v>0</v>
      </c>
      <c r="AQ25" s="68">
        <v>0</v>
      </c>
      <c r="AR25" s="68">
        <v>0</v>
      </c>
      <c r="AS25" s="68">
        <v>0</v>
      </c>
      <c r="AT25" s="68">
        <v>0</v>
      </c>
      <c r="AU25" s="68">
        <v>0</v>
      </c>
      <c r="AV25" s="68">
        <v>0</v>
      </c>
      <c r="AW25" s="68">
        <v>111.91240578</v>
      </c>
      <c r="AX25" s="68">
        <v>0</v>
      </c>
      <c r="AY25" s="68">
        <v>0</v>
      </c>
      <c r="AZ25" s="68">
        <v>0</v>
      </c>
      <c r="BA25" s="68">
        <v>0</v>
      </c>
      <c r="BB25" s="68">
        <v>0</v>
      </c>
      <c r="BC25" s="68">
        <v>0</v>
      </c>
      <c r="BD25" s="68">
        <v>0</v>
      </c>
      <c r="BE25" s="68">
        <v>57.651508579999998</v>
      </c>
      <c r="BF25" s="68">
        <v>0</v>
      </c>
      <c r="BG25" s="68">
        <v>0</v>
      </c>
      <c r="BH25" s="68">
        <v>0</v>
      </c>
      <c r="BI25" s="68">
        <v>0</v>
      </c>
      <c r="BJ25" s="68">
        <v>0</v>
      </c>
      <c r="BK25" s="68">
        <v>0</v>
      </c>
      <c r="BL25" s="68">
        <v>0</v>
      </c>
      <c r="BM25" s="68">
        <v>0</v>
      </c>
      <c r="BN25" s="68">
        <v>0</v>
      </c>
      <c r="BO25" s="68">
        <v>3601.0045862900001</v>
      </c>
      <c r="BP25" s="68">
        <v>0</v>
      </c>
      <c r="BQ25" s="68">
        <v>109.25776078</v>
      </c>
      <c r="BR25" s="68">
        <v>108.0868064</v>
      </c>
      <c r="BS25" s="68">
        <v>0</v>
      </c>
      <c r="BT25" s="68">
        <v>0</v>
      </c>
      <c r="BU25" s="68">
        <v>0</v>
      </c>
      <c r="BV25" s="68">
        <v>0</v>
      </c>
      <c r="BW25" s="68">
        <v>0</v>
      </c>
      <c r="BX25" s="68">
        <v>0</v>
      </c>
      <c r="BY25" s="68">
        <v>0</v>
      </c>
      <c r="BZ25" s="68">
        <v>0</v>
      </c>
      <c r="CA25" s="68">
        <v>0</v>
      </c>
      <c r="CB25" s="68">
        <v>0</v>
      </c>
      <c r="CC25" s="68">
        <v>0</v>
      </c>
      <c r="CD25" s="68">
        <v>0</v>
      </c>
      <c r="CE25" s="68">
        <v>0</v>
      </c>
      <c r="CF25" s="68">
        <v>0</v>
      </c>
      <c r="CG25" s="68">
        <v>0</v>
      </c>
      <c r="CH25" s="68">
        <v>0</v>
      </c>
      <c r="CI25" s="68">
        <v>0</v>
      </c>
      <c r="CJ25" s="68">
        <v>0</v>
      </c>
      <c r="CK25" s="68">
        <v>0</v>
      </c>
      <c r="CL25" s="68">
        <v>0</v>
      </c>
      <c r="CM25" s="68">
        <v>0</v>
      </c>
      <c r="CN25" s="68">
        <v>0</v>
      </c>
      <c r="CO25" s="68">
        <v>0</v>
      </c>
      <c r="CP25" s="68">
        <v>0</v>
      </c>
      <c r="CQ25" s="68">
        <v>0</v>
      </c>
      <c r="CR25" s="68">
        <v>0</v>
      </c>
      <c r="CS25" s="68">
        <v>162.36942565999999</v>
      </c>
      <c r="CT25" s="68">
        <v>0</v>
      </c>
      <c r="CU25" s="68">
        <v>0</v>
      </c>
      <c r="CV25" s="68">
        <v>0</v>
      </c>
      <c r="CW25" s="68">
        <v>0</v>
      </c>
      <c r="CX25" s="68">
        <v>0</v>
      </c>
      <c r="CY25" s="68">
        <v>0</v>
      </c>
      <c r="CZ25" s="68">
        <v>0</v>
      </c>
      <c r="DA25" s="68">
        <v>0</v>
      </c>
      <c r="DB25" s="68">
        <v>0</v>
      </c>
      <c r="DC25" s="68">
        <v>0</v>
      </c>
      <c r="DD25" s="68">
        <v>106.86346829999999</v>
      </c>
      <c r="DE25" s="68">
        <v>0</v>
      </c>
      <c r="DF25" s="68">
        <v>0</v>
      </c>
      <c r="DG25" s="68">
        <v>0</v>
      </c>
    </row>
    <row r="26" spans="1:111" s="55" customFormat="1" x14ac:dyDescent="0.3">
      <c r="A26" s="178" t="s">
        <v>19</v>
      </c>
      <c r="B26" s="78">
        <f>B7+B10+B13+B16</f>
        <v>241785.06565365003</v>
      </c>
      <c r="C26" s="80">
        <f t="shared" ref="C26:I26" si="6">C7+C10+C13+C16</f>
        <v>337823.80472837004</v>
      </c>
      <c r="D26" s="80">
        <f t="shared" si="6"/>
        <v>327953.54427826009</v>
      </c>
      <c r="E26" s="78">
        <f t="shared" si="6"/>
        <v>323736.26250237011</v>
      </c>
      <c r="F26" s="78">
        <f t="shared" si="6"/>
        <v>321747.82727762009</v>
      </c>
      <c r="G26" s="78">
        <f t="shared" si="6"/>
        <v>317648.27663866995</v>
      </c>
      <c r="H26" s="78">
        <f t="shared" si="6"/>
        <v>316658.92684915994</v>
      </c>
      <c r="I26" s="80">
        <f t="shared" si="6"/>
        <v>307315.56343265</v>
      </c>
      <c r="J26" s="78">
        <v>310910.16215499002</v>
      </c>
      <c r="K26" s="78">
        <v>310411.52811006003</v>
      </c>
      <c r="L26" s="78">
        <v>304055.67484803998</v>
      </c>
      <c r="M26" s="78">
        <v>301013.60403266997</v>
      </c>
      <c r="N26" s="80">
        <v>336026.73136316001</v>
      </c>
      <c r="O26" s="80">
        <v>320709.75326604</v>
      </c>
      <c r="P26" s="80">
        <v>325217.81698543997</v>
      </c>
      <c r="Q26" s="81">
        <v>320999.41231896001</v>
      </c>
      <c r="R26" s="81">
        <v>319785.28291458002</v>
      </c>
      <c r="S26" s="81">
        <v>318466.86493674997</v>
      </c>
      <c r="T26" s="81">
        <v>325883.57778779999</v>
      </c>
      <c r="U26" s="81">
        <v>349221.48861107999</v>
      </c>
      <c r="V26" s="81">
        <v>355653.00867898</v>
      </c>
      <c r="W26" s="81">
        <v>351005.90739399003</v>
      </c>
      <c r="X26" s="81">
        <v>357330.42404926999</v>
      </c>
      <c r="Y26" s="81">
        <v>326727.57345554</v>
      </c>
      <c r="Z26" s="81">
        <v>333045.62515065999</v>
      </c>
      <c r="AA26" s="81">
        <v>310777.47468888998</v>
      </c>
      <c r="AB26" s="81">
        <v>313751.62645644002</v>
      </c>
      <c r="AC26" s="81">
        <v>302624.86269293999</v>
      </c>
      <c r="AD26" s="81">
        <v>301172.66464783001</v>
      </c>
      <c r="AE26" s="81">
        <v>291559.18663105002</v>
      </c>
      <c r="AF26" s="81">
        <v>279839.54567262001</v>
      </c>
      <c r="AG26" s="81">
        <v>279339.30151758</v>
      </c>
      <c r="AH26" s="81">
        <v>260232.67580232999</v>
      </c>
      <c r="AI26" s="81">
        <v>269218.48230564001</v>
      </c>
      <c r="AJ26" s="81">
        <v>258704.88020707999</v>
      </c>
      <c r="AK26" s="81">
        <v>247114.6582416</v>
      </c>
      <c r="AL26" s="81">
        <v>260612.09294136</v>
      </c>
      <c r="AM26" s="81">
        <v>256114.8122743</v>
      </c>
      <c r="AN26" s="81">
        <v>292803.46597239998</v>
      </c>
      <c r="AO26" s="81">
        <v>281564.91623848001</v>
      </c>
      <c r="AP26" s="81">
        <v>281985.57684533001</v>
      </c>
      <c r="AQ26" s="81">
        <v>256227.89642996999</v>
      </c>
      <c r="AR26" s="81">
        <v>265912.91938151</v>
      </c>
      <c r="AS26" s="81">
        <v>265559.39222083002</v>
      </c>
      <c r="AT26" s="81">
        <v>234660.82998097001</v>
      </c>
      <c r="AU26" s="81">
        <v>213652.93176064</v>
      </c>
      <c r="AV26" s="81">
        <v>189280.23744062</v>
      </c>
      <c r="AW26" s="81">
        <v>179507.12064561999</v>
      </c>
      <c r="AX26" s="81">
        <v>181321.82110227001</v>
      </c>
      <c r="AY26" s="81">
        <v>176301.77146267999</v>
      </c>
      <c r="AZ26" s="81">
        <v>174392.21119064</v>
      </c>
      <c r="BA26" s="81">
        <v>177482.26082098001</v>
      </c>
      <c r="BB26" s="81">
        <v>164032.01723072</v>
      </c>
      <c r="BC26" s="81">
        <v>156669.3418812</v>
      </c>
      <c r="BD26" s="81">
        <v>148701.03854877001</v>
      </c>
      <c r="BE26" s="81">
        <v>145908.76276921001</v>
      </c>
      <c r="BF26" s="81">
        <v>129638.07292383999</v>
      </c>
      <c r="BG26" s="81">
        <v>127536.17846315</v>
      </c>
      <c r="BH26" s="81">
        <v>112255.40324576</v>
      </c>
      <c r="BI26" s="81">
        <v>108874.31027371</v>
      </c>
      <c r="BJ26" s="81">
        <v>114092.99861939999</v>
      </c>
      <c r="BK26" s="81">
        <v>72497.131272880026</v>
      </c>
      <c r="BL26" s="81">
        <v>72127.530818650004</v>
      </c>
      <c r="BM26" s="81">
        <v>74416.878786119996</v>
      </c>
      <c r="BN26" s="81">
        <v>77515.208743109994</v>
      </c>
      <c r="BO26" s="81">
        <v>82546.633496230002</v>
      </c>
      <c r="BP26" s="81">
        <v>102787.39348855001</v>
      </c>
      <c r="BQ26" s="81">
        <v>104698.31591894</v>
      </c>
      <c r="BR26" s="81">
        <v>110993.86362644999</v>
      </c>
      <c r="BS26" s="81">
        <v>122301.22217377</v>
      </c>
      <c r="BT26" s="81">
        <v>126376.68205030001</v>
      </c>
      <c r="BU26" s="81">
        <v>123047.42654159</v>
      </c>
      <c r="BV26" s="81">
        <v>123464.69239266</v>
      </c>
      <c r="BW26" s="81">
        <v>122307.27450189</v>
      </c>
      <c r="BX26" s="81">
        <v>123764.80153215</v>
      </c>
      <c r="BY26" s="81">
        <v>126173.27701824</v>
      </c>
      <c r="BZ26" s="81">
        <v>120891.15032301001</v>
      </c>
      <c r="CA26" s="81">
        <v>120611.16441439</v>
      </c>
      <c r="CB26" s="81">
        <v>123370.78685429</v>
      </c>
      <c r="CC26" s="81">
        <v>124546.41539711</v>
      </c>
      <c r="CD26" s="81">
        <v>123903.31877465</v>
      </c>
      <c r="CE26" s="81">
        <v>124224.59305123</v>
      </c>
      <c r="CF26" s="81">
        <v>122488.96335981</v>
      </c>
      <c r="CG26" s="81">
        <v>127010.83028509001</v>
      </c>
      <c r="CH26" s="81">
        <v>125613.82471253999</v>
      </c>
      <c r="CI26" s="81">
        <v>126012.7120645</v>
      </c>
      <c r="CJ26" s="81">
        <v>128639.64092855999</v>
      </c>
      <c r="CK26" s="81">
        <v>129127.38715210999</v>
      </c>
      <c r="CL26" s="81">
        <v>131302.71232327001</v>
      </c>
      <c r="CM26" s="81">
        <v>129996.03459489001</v>
      </c>
      <c r="CN26" s="81">
        <v>130068.21390185</v>
      </c>
      <c r="CO26" s="81">
        <v>131506.46141182</v>
      </c>
      <c r="CP26" s="81">
        <v>131274.67426258</v>
      </c>
      <c r="CQ26" s="81">
        <v>131108.63515168001</v>
      </c>
      <c r="CR26" s="81">
        <v>131146.61610903</v>
      </c>
      <c r="CS26" s="81">
        <v>127057.81806798</v>
      </c>
      <c r="CT26" s="81">
        <v>126948.12379762001</v>
      </c>
      <c r="CU26" s="81">
        <v>127292.21586390999</v>
      </c>
      <c r="CV26" s="81">
        <v>119048.42444161</v>
      </c>
      <c r="CW26" s="81">
        <v>121122.88236191</v>
      </c>
      <c r="CX26" s="81">
        <v>120887.82493505</v>
      </c>
      <c r="CY26" s="81">
        <v>121634.2744651</v>
      </c>
      <c r="CZ26" s="81">
        <v>119707.68563562</v>
      </c>
      <c r="DA26" s="81">
        <v>117829.18813448001</v>
      </c>
      <c r="DB26" s="81">
        <v>115279.97443031</v>
      </c>
      <c r="DC26" s="81">
        <v>116715.42224365</v>
      </c>
      <c r="DD26" s="81">
        <v>117482.49226465001</v>
      </c>
      <c r="DE26" s="81">
        <v>95049.653787379997</v>
      </c>
      <c r="DF26" s="81">
        <v>96361.265832250006</v>
      </c>
      <c r="DG26" s="81">
        <v>96581.221250699993</v>
      </c>
    </row>
    <row r="27" spans="1:111" s="63" customFormat="1" x14ac:dyDescent="0.3">
      <c r="A27" s="57" t="s">
        <v>12</v>
      </c>
      <c r="B27" s="58"/>
      <c r="C27" s="59"/>
      <c r="D27" s="58"/>
      <c r="E27" s="58"/>
      <c r="F27" s="58"/>
      <c r="G27" s="58"/>
      <c r="H27" s="58"/>
      <c r="I27" s="58"/>
      <c r="J27" s="60"/>
      <c r="K27" s="60"/>
      <c r="L27" s="60"/>
      <c r="M27" s="58"/>
      <c r="N27" s="60"/>
      <c r="O27" s="60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</row>
    <row r="28" spans="1:111" s="63" customFormat="1" x14ac:dyDescent="0.3">
      <c r="A28" s="75" t="s">
        <v>13</v>
      </c>
      <c r="B28" s="58">
        <v>44007.019568330004</v>
      </c>
      <c r="C28" s="58">
        <v>147122.38821155002</v>
      </c>
      <c r="D28" s="58">
        <v>147497.01774449999</v>
      </c>
      <c r="E28" s="58">
        <v>146884.59894945999</v>
      </c>
      <c r="F28" s="58">
        <v>147374.95701461995</v>
      </c>
      <c r="G28" s="58">
        <v>146505.14444903997</v>
      </c>
      <c r="H28" s="58">
        <v>141867.87027473998</v>
      </c>
      <c r="I28" s="58">
        <v>140198.50693921</v>
      </c>
      <c r="J28" s="61">
        <v>145269.18801879001</v>
      </c>
      <c r="K28" s="62">
        <v>145852.80801082001</v>
      </c>
      <c r="L28" s="62">
        <v>146814.71984581999</v>
      </c>
      <c r="M28" s="58">
        <v>157649.27891428</v>
      </c>
      <c r="N28" s="61">
        <v>171881.74659441001</v>
      </c>
      <c r="O28" s="62">
        <v>164289.24637934999</v>
      </c>
      <c r="P28" s="60">
        <v>170210.25003217001</v>
      </c>
      <c r="Q28" s="60">
        <v>168284.59919415001</v>
      </c>
      <c r="R28" s="60">
        <v>166288.05803663001</v>
      </c>
      <c r="S28" s="60">
        <v>165950.81161810999</v>
      </c>
      <c r="T28" s="60">
        <v>171952.70062451999</v>
      </c>
      <c r="U28" s="60">
        <v>182476.61985720001</v>
      </c>
      <c r="V28" s="60">
        <v>189401.75627650999</v>
      </c>
      <c r="W28" s="60">
        <v>186874.73515553001</v>
      </c>
      <c r="X28" s="60">
        <v>189013.24640991999</v>
      </c>
      <c r="Y28" s="60">
        <v>185567.23617593001</v>
      </c>
      <c r="Z28" s="60">
        <v>186259.45303961</v>
      </c>
      <c r="AA28" s="60">
        <v>172983.658757</v>
      </c>
      <c r="AB28" s="60">
        <v>176043.74662116999</v>
      </c>
      <c r="AC28" s="60">
        <v>171798.31253435</v>
      </c>
      <c r="AD28" s="60">
        <v>173361.97415487</v>
      </c>
      <c r="AE28" s="60">
        <v>167539.69621938001</v>
      </c>
      <c r="AF28" s="60">
        <v>162720.42042712</v>
      </c>
      <c r="AG28" s="60">
        <v>162249.15589113001</v>
      </c>
      <c r="AH28" s="60">
        <v>154522.56174686001</v>
      </c>
      <c r="AI28" s="60">
        <v>159019.51915069</v>
      </c>
      <c r="AJ28" s="60">
        <v>152935.08196405999</v>
      </c>
      <c r="AK28" s="60">
        <v>151058.63110900001</v>
      </c>
      <c r="AL28" s="60">
        <v>159971.39198196001</v>
      </c>
      <c r="AM28" s="60">
        <v>157240.52510527999</v>
      </c>
      <c r="AN28" s="60">
        <v>179500.14162097999</v>
      </c>
      <c r="AO28" s="60">
        <v>172984.57145290999</v>
      </c>
      <c r="AP28" s="60">
        <v>172865.31046713001</v>
      </c>
      <c r="AQ28" s="60">
        <v>148258.30110360999</v>
      </c>
      <c r="AR28" s="60">
        <v>154319.66480922</v>
      </c>
      <c r="AS28" s="60">
        <v>153628.59215698999</v>
      </c>
      <c r="AT28" s="60">
        <v>135453.08292339</v>
      </c>
      <c r="AU28" s="60">
        <v>117938.88019330001</v>
      </c>
      <c r="AV28" s="60">
        <v>95426.440315960004</v>
      </c>
      <c r="AW28" s="60">
        <v>90400.404572119995</v>
      </c>
      <c r="AX28" s="60">
        <v>92376.741896320003</v>
      </c>
      <c r="AY28" s="60">
        <v>89783.655826670001</v>
      </c>
      <c r="AZ28" s="60">
        <v>88678.265168919999</v>
      </c>
      <c r="BA28" s="60">
        <v>91621.947518720001</v>
      </c>
      <c r="BB28" s="60">
        <v>82190.813408679998</v>
      </c>
      <c r="BC28" s="60">
        <v>76372.111048139996</v>
      </c>
      <c r="BD28" s="60">
        <v>71639.292104099994</v>
      </c>
      <c r="BE28" s="60">
        <v>71095.762519519994</v>
      </c>
      <c r="BF28" s="60">
        <v>59657.70847012</v>
      </c>
      <c r="BG28" s="60">
        <v>59620.968724810002</v>
      </c>
      <c r="BH28" s="60">
        <v>47176.608513020001</v>
      </c>
      <c r="BI28" s="60">
        <v>45284.700034870002</v>
      </c>
      <c r="BJ28" s="60">
        <v>47684.095220099996</v>
      </c>
      <c r="BK28" s="60">
        <v>50311.760943099987</v>
      </c>
      <c r="BL28" s="60">
        <v>48570.492793409998</v>
      </c>
      <c r="BM28" s="60">
        <v>49724.133185580002</v>
      </c>
      <c r="BN28" s="60">
        <v>52009.718699500001</v>
      </c>
      <c r="BO28" s="60">
        <v>52098.741824830002</v>
      </c>
      <c r="BP28" s="60">
        <v>65071.990163789997</v>
      </c>
      <c r="BQ28" s="60">
        <v>66782.177790860005</v>
      </c>
      <c r="BR28" s="60">
        <v>71284.803482289994</v>
      </c>
      <c r="BS28" s="60">
        <v>81418.329967290003</v>
      </c>
      <c r="BT28" s="60">
        <v>84497.734584909995</v>
      </c>
      <c r="BU28" s="60">
        <v>81764.866600480003</v>
      </c>
      <c r="BV28" s="60">
        <v>82237.535498569996</v>
      </c>
      <c r="BW28" s="60">
        <v>81812.240137899993</v>
      </c>
      <c r="BX28" s="60">
        <v>83493.931557289994</v>
      </c>
      <c r="BY28" s="60">
        <v>85778.441516709994</v>
      </c>
      <c r="BZ28" s="60">
        <v>81267.687207569994</v>
      </c>
      <c r="CA28" s="60">
        <v>81350.109660019996</v>
      </c>
      <c r="CB28" s="60">
        <v>98258.396368000002</v>
      </c>
      <c r="CC28" s="60">
        <v>100546.93626335</v>
      </c>
      <c r="CD28" s="60">
        <v>99723.041665790006</v>
      </c>
      <c r="CE28" s="60">
        <v>100058.8002726</v>
      </c>
      <c r="CF28" s="60">
        <v>98008.009982570002</v>
      </c>
      <c r="CG28" s="60">
        <v>103444.85011145</v>
      </c>
      <c r="CH28" s="60">
        <v>102309.41685856</v>
      </c>
      <c r="CI28" s="60">
        <v>102304.07850505</v>
      </c>
      <c r="CJ28" s="60">
        <v>104740.37938044</v>
      </c>
      <c r="CK28" s="60">
        <v>104419.63000644</v>
      </c>
      <c r="CL28" s="60">
        <v>106545.72158339</v>
      </c>
      <c r="CM28" s="60">
        <v>105023.34796319999</v>
      </c>
      <c r="CN28" s="60">
        <v>105983.08768547</v>
      </c>
      <c r="CO28" s="60">
        <v>106829.71032324999</v>
      </c>
      <c r="CP28" s="60">
        <v>106613.62185141</v>
      </c>
      <c r="CQ28" s="60">
        <v>106094.41148667</v>
      </c>
      <c r="CR28" s="60">
        <v>106261.73458809999</v>
      </c>
      <c r="CS28" s="60">
        <v>102206.44115748</v>
      </c>
      <c r="CT28" s="60">
        <v>104148.64837616</v>
      </c>
      <c r="CU28" s="60">
        <v>105428.77147897999</v>
      </c>
      <c r="CV28" s="60">
        <v>98183.882327719999</v>
      </c>
      <c r="CW28" s="60">
        <v>99479.772633300003</v>
      </c>
      <c r="CX28" s="60">
        <v>99416.947720340002</v>
      </c>
      <c r="CY28" s="60">
        <v>100259.82681897</v>
      </c>
      <c r="CZ28" s="60">
        <v>100096.16558946</v>
      </c>
      <c r="DA28" s="60">
        <v>98755.530564129993</v>
      </c>
      <c r="DB28" s="60">
        <v>96446.914458629995</v>
      </c>
      <c r="DC28" s="60">
        <v>97638.280534029996</v>
      </c>
      <c r="DD28" s="60">
        <v>98613.566772360005</v>
      </c>
      <c r="DE28" s="60">
        <v>76332.433947979996</v>
      </c>
      <c r="DF28" s="60">
        <v>77486.015583259999</v>
      </c>
      <c r="DG28" s="60">
        <v>77876.403076670002</v>
      </c>
    </row>
    <row r="29" spans="1:111" s="72" customFormat="1" x14ac:dyDescent="0.3">
      <c r="A29" s="76" t="s">
        <v>14</v>
      </c>
      <c r="B29" s="65">
        <v>39564.333338470002</v>
      </c>
      <c r="C29" s="65">
        <v>39249.081900600009</v>
      </c>
      <c r="D29" s="65">
        <v>40231.747387959993</v>
      </c>
      <c r="E29" s="65">
        <v>40603.545561310006</v>
      </c>
      <c r="F29" s="65">
        <v>40603.545561310006</v>
      </c>
      <c r="G29" s="65">
        <v>39981.569602979995</v>
      </c>
      <c r="H29" s="65">
        <v>39783.239246980003</v>
      </c>
      <c r="I29" s="65">
        <v>39369.8839305</v>
      </c>
      <c r="J29" s="66">
        <v>40844.268949630001</v>
      </c>
      <c r="K29" s="67">
        <v>41301.73831488</v>
      </c>
      <c r="L29" s="66">
        <v>41633.6505263</v>
      </c>
      <c r="M29" s="65">
        <v>48294.447879159998</v>
      </c>
      <c r="N29" s="65">
        <v>48497.85047302</v>
      </c>
      <c r="O29" s="66">
        <v>46751.782358420001</v>
      </c>
      <c r="P29" s="66">
        <v>46218.228195590003</v>
      </c>
      <c r="Q29" s="66">
        <v>45765.067615389999</v>
      </c>
      <c r="R29" s="66">
        <v>45206.915918730003</v>
      </c>
      <c r="S29" s="66">
        <v>45478.043485609996</v>
      </c>
      <c r="T29" s="66">
        <v>46668.755359230003</v>
      </c>
      <c r="U29" s="66">
        <v>49591.850957230003</v>
      </c>
      <c r="V29" s="66">
        <v>57542.576917179998</v>
      </c>
      <c r="W29" s="66">
        <v>57451.121833789999</v>
      </c>
      <c r="X29" s="66">
        <v>58193.823099529996</v>
      </c>
      <c r="Y29" s="66">
        <v>57076.90654032</v>
      </c>
      <c r="Z29" s="66">
        <v>57478.623681340003</v>
      </c>
      <c r="AA29" s="66">
        <v>55744.01723112</v>
      </c>
      <c r="AB29" s="66">
        <v>56505.32760289</v>
      </c>
      <c r="AC29" s="66">
        <v>55335.339910499999</v>
      </c>
      <c r="AD29" s="66">
        <v>55467.771655969998</v>
      </c>
      <c r="AE29" s="66">
        <v>54227.62999265</v>
      </c>
      <c r="AF29" s="66">
        <v>52124.556618859999</v>
      </c>
      <c r="AG29" s="66">
        <v>52587.912206820001</v>
      </c>
      <c r="AH29" s="66">
        <v>50319.31714051</v>
      </c>
      <c r="AI29" s="66">
        <v>52461.644673989998</v>
      </c>
      <c r="AJ29" s="66">
        <v>50486.494410309999</v>
      </c>
      <c r="AK29" s="66">
        <v>49849.287243840001</v>
      </c>
      <c r="AL29" s="66">
        <v>52619.607630689999</v>
      </c>
      <c r="AM29" s="66">
        <v>52029.504851730002</v>
      </c>
      <c r="AN29" s="66">
        <v>59642.9464659</v>
      </c>
      <c r="AO29" s="66">
        <v>57497.418668539998</v>
      </c>
      <c r="AP29" s="66">
        <v>57631.839689870001</v>
      </c>
      <c r="AQ29" s="66">
        <v>57440.414650170002</v>
      </c>
      <c r="AR29" s="66">
        <v>59963.961363709997</v>
      </c>
      <c r="AS29" s="66">
        <v>59781.102756690001</v>
      </c>
      <c r="AT29" s="66">
        <v>61356.446584409998</v>
      </c>
      <c r="AU29" s="66">
        <v>43115.859076289998</v>
      </c>
      <c r="AV29" s="66">
        <v>20383.088828479998</v>
      </c>
      <c r="AW29" s="66">
        <v>18420.777039439999</v>
      </c>
      <c r="AX29" s="66">
        <v>18388.573812570001</v>
      </c>
      <c r="AY29" s="66">
        <v>17862.738753170001</v>
      </c>
      <c r="AZ29" s="66">
        <v>17747.348144520001</v>
      </c>
      <c r="BA29" s="66">
        <v>17711.70867018</v>
      </c>
      <c r="BB29" s="66">
        <v>17483.3536733</v>
      </c>
      <c r="BC29" s="66">
        <v>17079.890298769998</v>
      </c>
      <c r="BD29" s="66">
        <v>16801.78608423</v>
      </c>
      <c r="BE29" s="66">
        <v>16827.259663330002</v>
      </c>
      <c r="BF29" s="66">
        <v>16634.907781940001</v>
      </c>
      <c r="BG29" s="66">
        <v>16204.17931947</v>
      </c>
      <c r="BH29" s="66">
        <v>16762.556756670001</v>
      </c>
      <c r="BI29" s="66">
        <v>16728.56812878</v>
      </c>
      <c r="BJ29" s="66">
        <v>17589.519527780001</v>
      </c>
      <c r="BK29" s="66">
        <v>17894.151051110002</v>
      </c>
      <c r="BL29" s="66">
        <v>17873.411247799999</v>
      </c>
      <c r="BM29" s="66">
        <v>17859.592327620001</v>
      </c>
      <c r="BN29" s="66">
        <v>17892.12135641</v>
      </c>
      <c r="BO29" s="66">
        <v>17392.55597066</v>
      </c>
      <c r="BP29" s="66">
        <v>21761.05794087</v>
      </c>
      <c r="BQ29" s="66">
        <v>21761.709801410001</v>
      </c>
      <c r="BR29" s="66">
        <v>21751.406968679999</v>
      </c>
      <c r="BS29" s="66">
        <v>21802.218026750001</v>
      </c>
      <c r="BT29" s="66">
        <v>21816.90956928</v>
      </c>
      <c r="BU29" s="66">
        <v>14226.831849710001</v>
      </c>
      <c r="BV29" s="66">
        <v>14286.806130999999</v>
      </c>
      <c r="BW29" s="66">
        <v>14321.340770139999</v>
      </c>
      <c r="BX29" s="66">
        <v>14382.94545069</v>
      </c>
      <c r="BY29" s="66">
        <v>14446.988746319999</v>
      </c>
      <c r="BZ29" s="66">
        <v>14502.000681019999</v>
      </c>
      <c r="CA29" s="66">
        <v>14488.88176543</v>
      </c>
      <c r="CB29" s="66">
        <v>14556.336143299999</v>
      </c>
      <c r="CC29" s="66">
        <v>14593.53535978</v>
      </c>
      <c r="CD29" s="66">
        <v>14645.46512191</v>
      </c>
      <c r="CE29" s="66">
        <v>14622.26020622</v>
      </c>
      <c r="CF29" s="66">
        <v>14666.65658886</v>
      </c>
      <c r="CG29" s="66">
        <v>15295.721316380001</v>
      </c>
      <c r="CH29" s="66">
        <v>15254.913423030001</v>
      </c>
      <c r="CI29" s="66">
        <v>15447.215179119999</v>
      </c>
      <c r="CJ29" s="66">
        <v>15921.247386380001</v>
      </c>
      <c r="CK29" s="66">
        <v>16158.68179452</v>
      </c>
      <c r="CL29" s="66">
        <v>16557.271694169998</v>
      </c>
      <c r="CM29" s="66">
        <v>16643.792484320002</v>
      </c>
      <c r="CN29" s="66">
        <v>16917.306799649999</v>
      </c>
      <c r="CO29" s="66">
        <v>17043.68031163</v>
      </c>
      <c r="CP29" s="66">
        <v>17085.710008210001</v>
      </c>
      <c r="CQ29" s="66">
        <v>17156.884843250002</v>
      </c>
      <c r="CR29" s="66">
        <v>17346.345000339999</v>
      </c>
      <c r="CS29" s="66">
        <v>17600.367920770001</v>
      </c>
      <c r="CT29" s="66">
        <v>17576.281671389999</v>
      </c>
      <c r="CU29" s="66">
        <v>17512.841967100001</v>
      </c>
      <c r="CV29" s="66">
        <v>16001.632209920001</v>
      </c>
      <c r="CW29" s="66">
        <v>16115.7197067</v>
      </c>
      <c r="CX29" s="66">
        <v>16176.955230240001</v>
      </c>
      <c r="CY29" s="66">
        <v>16297.16078235</v>
      </c>
      <c r="CZ29" s="66">
        <v>16386.9965639</v>
      </c>
      <c r="DA29" s="66">
        <v>16236.21308849</v>
      </c>
      <c r="DB29" s="66">
        <v>16329.42048063</v>
      </c>
      <c r="DC29" s="66">
        <v>16672.76007366</v>
      </c>
      <c r="DD29" s="66">
        <v>16859.382054099999</v>
      </c>
      <c r="DE29" s="66">
        <v>6906.2368999800001</v>
      </c>
      <c r="DF29" s="66">
        <v>7004.2459199499999</v>
      </c>
      <c r="DG29" s="66">
        <v>7083.2011597600003</v>
      </c>
    </row>
    <row r="30" spans="1:111" s="72" customFormat="1" ht="18" customHeight="1" x14ac:dyDescent="0.3">
      <c r="A30" s="179" t="s">
        <v>15</v>
      </c>
      <c r="B30" s="65">
        <f>B28-B29</f>
        <v>4442.6862298600026</v>
      </c>
      <c r="C30" s="65">
        <f t="shared" ref="C30:I30" si="7">C28-C29</f>
        <v>107873.30631095001</v>
      </c>
      <c r="D30" s="65">
        <f t="shared" si="7"/>
        <v>107265.27035653999</v>
      </c>
      <c r="E30" s="65">
        <f t="shared" si="7"/>
        <v>106281.05338814999</v>
      </c>
      <c r="F30" s="65">
        <f t="shared" si="7"/>
        <v>106771.41145330995</v>
      </c>
      <c r="G30" s="65">
        <f t="shared" si="7"/>
        <v>106523.57484605999</v>
      </c>
      <c r="H30" s="65">
        <f t="shared" si="7"/>
        <v>102084.63102775998</v>
      </c>
      <c r="I30" s="65">
        <f t="shared" si="7"/>
        <v>100828.62300871</v>
      </c>
      <c r="J30" s="65">
        <v>104424.91906916001</v>
      </c>
      <c r="K30" s="66">
        <v>104551.06969594001</v>
      </c>
      <c r="L30" s="66">
        <v>105181.06931951999</v>
      </c>
      <c r="M30" s="65">
        <v>109354.83103512001</v>
      </c>
      <c r="N30" s="65">
        <v>123383.89612139002</v>
      </c>
      <c r="O30" s="68">
        <v>117537.46402093</v>
      </c>
      <c r="P30" s="68">
        <v>123992.02183658001</v>
      </c>
      <c r="Q30" s="68">
        <v>122519.53157876001</v>
      </c>
      <c r="R30" s="68">
        <v>121081.14211790002</v>
      </c>
      <c r="S30" s="68">
        <v>120472.7681325</v>
      </c>
      <c r="T30" s="68">
        <v>125283.94526528998</v>
      </c>
      <c r="U30" s="68">
        <v>132884.76889997002</v>
      </c>
      <c r="V30" s="68">
        <v>131859.17935932998</v>
      </c>
      <c r="W30" s="68">
        <v>129423.61332174001</v>
      </c>
      <c r="X30" s="68">
        <v>130819.42331038999</v>
      </c>
      <c r="Y30" s="68">
        <v>128490.32963561002</v>
      </c>
      <c r="Z30" s="68">
        <v>128780.82935827</v>
      </c>
      <c r="AA30" s="68">
        <v>117239.64152588</v>
      </c>
      <c r="AB30" s="68">
        <v>119538.41901827999</v>
      </c>
      <c r="AC30" s="68">
        <v>116462.97262385</v>
      </c>
      <c r="AD30" s="68">
        <v>117894.20249890001</v>
      </c>
      <c r="AE30" s="68">
        <v>113312.06622673001</v>
      </c>
      <c r="AF30" s="68">
        <v>110595.86380826001</v>
      </c>
      <c r="AG30" s="68">
        <v>109661.24368431</v>
      </c>
      <c r="AH30" s="68">
        <v>104203.24460635001</v>
      </c>
      <c r="AI30" s="68">
        <v>106557.8744767</v>
      </c>
      <c r="AJ30" s="68">
        <v>102448.58755375</v>
      </c>
      <c r="AK30" s="68">
        <v>101209.34386516002</v>
      </c>
      <c r="AL30" s="68">
        <v>107351.78435127001</v>
      </c>
      <c r="AM30" s="68">
        <v>105211.02025354998</v>
      </c>
      <c r="AN30" s="68">
        <v>119857.19515508</v>
      </c>
      <c r="AO30" s="68">
        <v>115487.15278437</v>
      </c>
      <c r="AP30" s="68">
        <v>115233.47077726001</v>
      </c>
      <c r="AQ30" s="68">
        <v>90817.886453439991</v>
      </c>
      <c r="AR30" s="68">
        <v>94355.703445510007</v>
      </c>
      <c r="AS30" s="68">
        <v>93847.489400299994</v>
      </c>
      <c r="AT30" s="68">
        <v>74096.636338979995</v>
      </c>
      <c r="AU30" s="68">
        <v>74823.021117010008</v>
      </c>
      <c r="AV30" s="68">
        <v>75043.351487480002</v>
      </c>
      <c r="AW30" s="68">
        <v>71979.627532679995</v>
      </c>
      <c r="AX30" s="68">
        <v>73988.168083750003</v>
      </c>
      <c r="AY30" s="68">
        <v>71920.917073499993</v>
      </c>
      <c r="AZ30" s="68">
        <v>70930.917024399998</v>
      </c>
      <c r="BA30" s="68">
        <v>73910.238848540001</v>
      </c>
      <c r="BB30" s="68">
        <v>64707.459735379998</v>
      </c>
      <c r="BC30" s="68">
        <v>59292.220749369997</v>
      </c>
      <c r="BD30" s="68">
        <v>54837.506019869994</v>
      </c>
      <c r="BE30" s="68">
        <v>54268.502856189996</v>
      </c>
      <c r="BF30" s="68">
        <v>43022.800688179996</v>
      </c>
      <c r="BG30" s="68">
        <v>43416.789405340001</v>
      </c>
      <c r="BH30" s="68">
        <v>30414.05175635</v>
      </c>
      <c r="BI30" s="68">
        <v>28556.131906090002</v>
      </c>
      <c r="BJ30" s="68">
        <v>30094.575692319995</v>
      </c>
      <c r="BK30" s="68">
        <v>32417.609891989985</v>
      </c>
      <c r="BL30" s="68">
        <v>30697.081545609999</v>
      </c>
      <c r="BM30" s="68">
        <v>31864.540857960001</v>
      </c>
      <c r="BN30" s="68">
        <v>34117.597343090005</v>
      </c>
      <c r="BO30" s="68">
        <v>34706.185854170006</v>
      </c>
      <c r="BP30" s="68">
        <v>43310.932222919997</v>
      </c>
      <c r="BQ30" s="68">
        <v>45020.46798945</v>
      </c>
      <c r="BR30" s="68">
        <v>49533.396513609994</v>
      </c>
      <c r="BS30" s="68">
        <v>59616.111940540002</v>
      </c>
      <c r="BT30" s="68">
        <v>62680.825015629991</v>
      </c>
      <c r="BU30" s="68">
        <v>67538.034750770006</v>
      </c>
      <c r="BV30" s="68">
        <v>67950.729367569991</v>
      </c>
      <c r="BW30" s="68">
        <v>67490.899367759994</v>
      </c>
      <c r="BX30" s="68">
        <v>69110.986106600001</v>
      </c>
      <c r="BY30" s="68">
        <v>71331.452770389995</v>
      </c>
      <c r="BZ30" s="68">
        <v>66765.686526549995</v>
      </c>
      <c r="CA30" s="68">
        <v>66861.227894590003</v>
      </c>
      <c r="CB30" s="68">
        <v>83702.060224700006</v>
      </c>
      <c r="CC30" s="68">
        <v>85953.40090357</v>
      </c>
      <c r="CD30" s="68">
        <v>85077.576543880001</v>
      </c>
      <c r="CE30" s="68">
        <v>85436.540066379996</v>
      </c>
      <c r="CF30" s="68">
        <v>83341.35339371</v>
      </c>
      <c r="CG30" s="68">
        <v>88149.128795069992</v>
      </c>
      <c r="CH30" s="68">
        <v>87054.503435530001</v>
      </c>
      <c r="CI30" s="68">
        <v>86856.863325929997</v>
      </c>
      <c r="CJ30" s="68">
        <v>88819.131994060008</v>
      </c>
      <c r="CK30" s="68">
        <v>88260.948211919997</v>
      </c>
      <c r="CL30" s="68">
        <v>89988.449889220006</v>
      </c>
      <c r="CM30" s="68">
        <v>88379.555478879993</v>
      </c>
      <c r="CN30" s="68">
        <v>89065.780885820001</v>
      </c>
      <c r="CO30" s="68">
        <v>89786.030011619994</v>
      </c>
      <c r="CP30" s="68">
        <v>89527.91184320001</v>
      </c>
      <c r="CQ30" s="68">
        <v>88937.526643419988</v>
      </c>
      <c r="CR30" s="68">
        <v>88915.389587760001</v>
      </c>
      <c r="CS30" s="68">
        <v>84606.073236709999</v>
      </c>
      <c r="CT30" s="68">
        <v>86572.36670477</v>
      </c>
      <c r="CU30" s="68">
        <v>87915.929511879993</v>
      </c>
      <c r="CV30" s="68">
        <v>82182.250117799995</v>
      </c>
      <c r="CW30" s="68">
        <v>83364.052926600009</v>
      </c>
      <c r="CX30" s="68">
        <v>83239.992490100005</v>
      </c>
      <c r="CY30" s="68">
        <v>83962.666036620009</v>
      </c>
      <c r="CZ30" s="68">
        <v>83709.169025559997</v>
      </c>
      <c r="DA30" s="68">
        <v>82519.317475639997</v>
      </c>
      <c r="DB30" s="68">
        <v>80117.493977999999</v>
      </c>
      <c r="DC30" s="68">
        <v>80965.520460369997</v>
      </c>
      <c r="DD30" s="68">
        <v>81754.184718260003</v>
      </c>
      <c r="DE30" s="68">
        <v>69426.197048000002</v>
      </c>
      <c r="DF30" s="68">
        <v>70481.769663309999</v>
      </c>
      <c r="DG30" s="68">
        <v>70793.201916909995</v>
      </c>
    </row>
    <row r="31" spans="1:111" s="72" customFormat="1" x14ac:dyDescent="0.3">
      <c r="A31" s="76" t="s">
        <v>16</v>
      </c>
      <c r="B31" s="65">
        <v>173489.28705814993</v>
      </c>
      <c r="C31" s="65">
        <v>168392.12971192005</v>
      </c>
      <c r="D31" s="65">
        <v>158502.15865528997</v>
      </c>
      <c r="E31" s="65">
        <v>154718.77987808001</v>
      </c>
      <c r="F31" s="65">
        <v>152997.76747451007</v>
      </c>
      <c r="G31" s="65">
        <v>147756.51814236009</v>
      </c>
      <c r="H31" s="65">
        <v>149375.44894186995</v>
      </c>
      <c r="I31" s="65">
        <v>142599.31438159003</v>
      </c>
      <c r="J31" s="68">
        <v>141501.71204760004</v>
      </c>
      <c r="K31" s="66">
        <v>140660.40723797999</v>
      </c>
      <c r="L31" s="66">
        <v>132989.77335351001</v>
      </c>
      <c r="M31" s="65">
        <v>123450.92853834</v>
      </c>
      <c r="N31" s="68">
        <v>142317.23266767</v>
      </c>
      <c r="O31" s="66">
        <v>136113.38208770999</v>
      </c>
      <c r="P31" s="66">
        <v>134056.73555719</v>
      </c>
      <c r="Q31" s="66">
        <v>131645.39664788</v>
      </c>
      <c r="R31" s="66">
        <v>132208.73761392999</v>
      </c>
      <c r="S31" s="66">
        <v>132747.02935376001</v>
      </c>
      <c r="T31" s="66">
        <v>133338.67877858999</v>
      </c>
      <c r="U31" s="66">
        <v>143724.7739227</v>
      </c>
      <c r="V31" s="66">
        <v>142617.35662414</v>
      </c>
      <c r="W31" s="66">
        <v>141587.6093096</v>
      </c>
      <c r="X31" s="66">
        <v>126688.81408655</v>
      </c>
      <c r="Y31" s="66">
        <v>120733.52593588</v>
      </c>
      <c r="Z31" s="66">
        <v>126393.13669352001</v>
      </c>
      <c r="AA31" s="66">
        <v>117743.51410467</v>
      </c>
      <c r="AB31" s="66">
        <v>118747.99840054</v>
      </c>
      <c r="AC31" s="66">
        <v>111678.75502536001</v>
      </c>
      <c r="AD31" s="66">
        <v>112428.46170512</v>
      </c>
      <c r="AE31" s="66">
        <v>109033.76304794</v>
      </c>
      <c r="AF31" s="66">
        <v>103100.11040514</v>
      </c>
      <c r="AG31" s="66">
        <v>103226.69397869</v>
      </c>
      <c r="AH31" s="66">
        <v>92611.262219519995</v>
      </c>
      <c r="AI31" s="66">
        <v>95715.419766229999</v>
      </c>
      <c r="AJ31" s="66">
        <v>91865.743854729997</v>
      </c>
      <c r="AK31" s="66">
        <v>83882.720538270005</v>
      </c>
      <c r="AL31" s="66">
        <v>87886.996066980006</v>
      </c>
      <c r="AM31" s="66">
        <v>85877.893999770007</v>
      </c>
      <c r="AN31" s="66">
        <v>98401.922136089997</v>
      </c>
      <c r="AO31" s="66">
        <v>94306.845763510006</v>
      </c>
      <c r="AP31" s="66">
        <v>94485.324513119995</v>
      </c>
      <c r="AQ31" s="66">
        <v>93963.037080630005</v>
      </c>
      <c r="AR31" s="66">
        <v>97707.726424120003</v>
      </c>
      <c r="AS31" s="66">
        <v>98245.305496500005</v>
      </c>
      <c r="AT31" s="66">
        <v>85858.257926239996</v>
      </c>
      <c r="AU31" s="66">
        <v>82280.984463850007</v>
      </c>
      <c r="AV31" s="66">
        <v>80668.603143629996</v>
      </c>
      <c r="AW31" s="66">
        <v>77718.506906189999</v>
      </c>
      <c r="AX31" s="66">
        <v>77574.72701776</v>
      </c>
      <c r="AY31" s="66">
        <v>75066.799361180005</v>
      </c>
      <c r="AZ31" s="66">
        <v>74495.802346800003</v>
      </c>
      <c r="BA31" s="66">
        <v>74442.890769759993</v>
      </c>
      <c r="BB31" s="66">
        <v>70715.845457739997</v>
      </c>
      <c r="BC31" s="66">
        <v>69387.987816780005</v>
      </c>
      <c r="BD31" s="66">
        <v>66839.657910189999</v>
      </c>
      <c r="BE31" s="66">
        <v>64693.509220489999</v>
      </c>
      <c r="BF31" s="66">
        <v>60258.63776107</v>
      </c>
      <c r="BG31" s="66">
        <v>58461.099352240002</v>
      </c>
      <c r="BH31" s="66">
        <v>55709.593121450001</v>
      </c>
      <c r="BI31" s="66">
        <v>54404.890611789997</v>
      </c>
      <c r="BJ31" s="66">
        <v>56853.604172009997</v>
      </c>
      <c r="BK31" s="66">
        <v>0</v>
      </c>
      <c r="BL31" s="66">
        <v>12855.15686121</v>
      </c>
      <c r="BM31" s="66">
        <v>13921.54009482</v>
      </c>
      <c r="BN31" s="66">
        <v>13975.82978288</v>
      </c>
      <c r="BO31" s="66">
        <v>17654.173635560001</v>
      </c>
      <c r="BP31" s="66">
        <v>23176.96451736</v>
      </c>
      <c r="BQ31" s="66">
        <v>23404.948885549999</v>
      </c>
      <c r="BR31" s="66">
        <v>24024.336007279999</v>
      </c>
      <c r="BS31" s="66">
        <v>25267.954786859998</v>
      </c>
      <c r="BT31" s="66">
        <v>25727.802312970001</v>
      </c>
      <c r="BU31" s="66">
        <v>27488.775958179998</v>
      </c>
      <c r="BV31" s="66">
        <v>27595.65438932</v>
      </c>
      <c r="BW31" s="66">
        <v>27316.62240023</v>
      </c>
      <c r="BX31" s="66">
        <v>29301.365855830001</v>
      </c>
      <c r="BY31" s="66">
        <v>29405.627774469998</v>
      </c>
      <c r="BZ31" s="66">
        <v>28497.832157659999</v>
      </c>
      <c r="CA31" s="66">
        <v>28057.024559140002</v>
      </c>
      <c r="CB31" s="66">
        <v>13350.23761543</v>
      </c>
      <c r="CC31" s="66">
        <v>11755.95824563</v>
      </c>
      <c r="CD31" s="66">
        <v>11761.0737195</v>
      </c>
      <c r="CE31" s="66">
        <v>11569.596038289999</v>
      </c>
      <c r="CF31" s="66">
        <v>11609.92754423</v>
      </c>
      <c r="CG31" s="66">
        <v>12420.360034339999</v>
      </c>
      <c r="CH31" s="66">
        <v>12585.994954199999</v>
      </c>
      <c r="CI31" s="66">
        <v>12620.256774019999</v>
      </c>
      <c r="CJ31" s="66">
        <v>12865.01168881</v>
      </c>
      <c r="CK31" s="66">
        <v>12942.80789837</v>
      </c>
      <c r="CL31" s="66">
        <v>12763.37510578</v>
      </c>
      <c r="CM31" s="66">
        <v>12755.68885984</v>
      </c>
      <c r="CN31" s="66">
        <v>12705.46065044</v>
      </c>
      <c r="CO31" s="66">
        <v>12744.885566229999</v>
      </c>
      <c r="CP31" s="66">
        <v>12536.609992690001</v>
      </c>
      <c r="CQ31" s="66">
        <v>12341.87035485</v>
      </c>
      <c r="CR31" s="66">
        <v>12262.98053843</v>
      </c>
      <c r="CS31" s="66">
        <v>12362.14409064</v>
      </c>
      <c r="CT31" s="66">
        <v>11731.255919679999</v>
      </c>
      <c r="CU31" s="66">
        <v>11548.59227282</v>
      </c>
      <c r="CV31" s="66">
        <v>11482.326876880001</v>
      </c>
      <c r="CW31" s="66">
        <v>11682.890763789999</v>
      </c>
      <c r="CX31" s="66">
        <v>11615.05771868</v>
      </c>
      <c r="CY31" s="66">
        <v>11706.295023070001</v>
      </c>
      <c r="CZ31" s="66">
        <v>10002.289080820001</v>
      </c>
      <c r="DA31" s="66">
        <v>9540.6535295199992</v>
      </c>
      <c r="DB31" s="66">
        <v>9505.4675442000007</v>
      </c>
      <c r="DC31" s="66">
        <v>9946.0920154899995</v>
      </c>
      <c r="DD31" s="66">
        <v>9812.2504911600008</v>
      </c>
      <c r="DE31" s="66">
        <v>9710.9061583500006</v>
      </c>
      <c r="DF31" s="66">
        <v>9814.2430258700006</v>
      </c>
      <c r="DG31" s="66">
        <v>9780.4308383299995</v>
      </c>
    </row>
    <row r="32" spans="1:111" s="63" customFormat="1" x14ac:dyDescent="0.3">
      <c r="A32" s="57" t="s">
        <v>17</v>
      </c>
      <c r="B32" s="68">
        <v>17803.606615469998</v>
      </c>
      <c r="C32" s="68">
        <v>17487.58514816999</v>
      </c>
      <c r="D32" s="68">
        <v>17136.949965490003</v>
      </c>
      <c r="E32" s="68">
        <v>16347.206571039997</v>
      </c>
      <c r="F32" s="68">
        <v>15866.905604010004</v>
      </c>
      <c r="G32" s="68">
        <v>16180.70154419</v>
      </c>
      <c r="H32" s="68">
        <v>17240.252819399997</v>
      </c>
      <c r="I32" s="68">
        <v>16413.623466020003</v>
      </c>
      <c r="J32" s="61">
        <v>15717.983481470003</v>
      </c>
      <c r="K32" s="61">
        <v>15367.150013390001</v>
      </c>
      <c r="L32" s="60">
        <v>15672.76271458</v>
      </c>
      <c r="M32" s="68">
        <v>16744.44929511</v>
      </c>
      <c r="N32" s="66">
        <v>18642.876311650001</v>
      </c>
      <c r="O32" s="66">
        <v>17274.95542871</v>
      </c>
      <c r="P32" s="66">
        <v>16921.044442660001</v>
      </c>
      <c r="Q32" s="66">
        <v>17060.247940469999</v>
      </c>
      <c r="R32" s="66">
        <v>17275.431356839999</v>
      </c>
      <c r="S32" s="66">
        <v>16142.263217039999</v>
      </c>
      <c r="T32" s="66">
        <v>16886.855360000001</v>
      </c>
      <c r="U32" s="66">
        <v>19103.523237699999</v>
      </c>
      <c r="V32" s="66">
        <v>19714.460691749999</v>
      </c>
      <c r="W32" s="66">
        <v>18648.363034310001</v>
      </c>
      <c r="X32" s="66">
        <v>18719.931266020001</v>
      </c>
      <c r="Y32" s="66">
        <v>16596.094314319998</v>
      </c>
      <c r="Z32" s="66">
        <v>16553.431184050001</v>
      </c>
      <c r="AA32" s="66">
        <v>16316.91727765</v>
      </c>
      <c r="AB32" s="66">
        <v>15193.85355534</v>
      </c>
      <c r="AC32" s="66">
        <v>15470.28922737</v>
      </c>
      <c r="AD32" s="66">
        <v>15382.22878784</v>
      </c>
      <c r="AE32" s="66">
        <v>14985.72736373</v>
      </c>
      <c r="AF32" s="66">
        <v>14019.01484036</v>
      </c>
      <c r="AG32" s="66">
        <v>13863.451647759999</v>
      </c>
      <c r="AH32" s="66">
        <v>13098.851835949999</v>
      </c>
      <c r="AI32" s="66">
        <v>14483.54338872</v>
      </c>
      <c r="AJ32" s="66">
        <v>13904.05438829</v>
      </c>
      <c r="AK32" s="66">
        <v>12173.306594330001</v>
      </c>
      <c r="AL32" s="66">
        <v>12753.704892420001</v>
      </c>
      <c r="AM32" s="66">
        <v>12996.393169249999</v>
      </c>
      <c r="AN32" s="66">
        <v>14901.402215329999</v>
      </c>
      <c r="AO32" s="66">
        <v>14273.499022059999</v>
      </c>
      <c r="AP32" s="66">
        <v>14634.94186508</v>
      </c>
      <c r="AQ32" s="66">
        <v>14006.558245730001</v>
      </c>
      <c r="AR32" s="66">
        <v>13885.52814817</v>
      </c>
      <c r="AS32" s="66">
        <v>13685.49456734</v>
      </c>
      <c r="AT32" s="66">
        <v>13349.48913134</v>
      </c>
      <c r="AU32" s="66">
        <v>13433.067103490001</v>
      </c>
      <c r="AV32" s="66">
        <v>13185.193981029999</v>
      </c>
      <c r="AW32" s="66">
        <v>11276.29676153</v>
      </c>
      <c r="AX32" s="66">
        <v>11370.35218819</v>
      </c>
      <c r="AY32" s="66">
        <v>11451.31627483</v>
      </c>
      <c r="AZ32" s="66">
        <v>11218.14367492</v>
      </c>
      <c r="BA32" s="66">
        <v>11417.422532500001</v>
      </c>
      <c r="BB32" s="66">
        <v>11125.3583643</v>
      </c>
      <c r="BC32" s="66">
        <v>10909.243016279999</v>
      </c>
      <c r="BD32" s="66">
        <v>10222.088534480001</v>
      </c>
      <c r="BE32" s="66">
        <v>10061.83952062</v>
      </c>
      <c r="BF32" s="66">
        <v>9721.7266926499997</v>
      </c>
      <c r="BG32" s="66">
        <v>9454.1103860999992</v>
      </c>
      <c r="BH32" s="66">
        <v>9369.2016112900001</v>
      </c>
      <c r="BI32" s="66">
        <v>9184.7196270500008</v>
      </c>
      <c r="BJ32" s="66">
        <v>9555.2992272899992</v>
      </c>
      <c r="BK32" s="66">
        <v>10298.204371300006</v>
      </c>
      <c r="BL32" s="66">
        <v>10701.881164029999</v>
      </c>
      <c r="BM32" s="66">
        <v>10771.20550572</v>
      </c>
      <c r="BN32" s="66">
        <v>11529.660260729999</v>
      </c>
      <c r="BO32" s="66">
        <v>11802.158323</v>
      </c>
      <c r="BP32" s="66">
        <v>14538.4388074</v>
      </c>
      <c r="BQ32" s="66">
        <v>14504.13057865</v>
      </c>
      <c r="BR32" s="66">
        <v>15677.665472999999</v>
      </c>
      <c r="BS32" s="66">
        <v>15614.937419620001</v>
      </c>
      <c r="BT32" s="66">
        <v>16151.14515242</v>
      </c>
      <c r="BU32" s="66">
        <v>13793.783982929999</v>
      </c>
      <c r="BV32" s="66">
        <v>13631.50250477</v>
      </c>
      <c r="BW32" s="66">
        <v>13178.41196376</v>
      </c>
      <c r="BX32" s="66">
        <v>10969.50411903</v>
      </c>
      <c r="BY32" s="66">
        <v>10989.20772706</v>
      </c>
      <c r="BZ32" s="66">
        <v>11125.63095778</v>
      </c>
      <c r="CA32" s="66">
        <v>11204.03019523</v>
      </c>
      <c r="CB32" s="66">
        <v>11762.15287086</v>
      </c>
      <c r="CC32" s="66">
        <v>12243.52088813</v>
      </c>
      <c r="CD32" s="66">
        <v>12419.20338936</v>
      </c>
      <c r="CE32" s="66">
        <v>12596.196740339999</v>
      </c>
      <c r="CF32" s="66">
        <v>12871.02583301</v>
      </c>
      <c r="CG32" s="66">
        <v>11145.620139299999</v>
      </c>
      <c r="CH32" s="66">
        <v>10718.41289978</v>
      </c>
      <c r="CI32" s="66">
        <v>11088.37678543</v>
      </c>
      <c r="CJ32" s="66">
        <v>11034.249859310001</v>
      </c>
      <c r="CK32" s="66">
        <v>11764.949247299999</v>
      </c>
      <c r="CL32" s="66">
        <v>11993.615634100001</v>
      </c>
      <c r="CM32" s="61">
        <v>12216.997771849999</v>
      </c>
      <c r="CN32" s="61">
        <v>11379.66556594</v>
      </c>
      <c r="CO32" s="61">
        <v>11931.86552234</v>
      </c>
      <c r="CP32" s="61">
        <v>12124.442418479999</v>
      </c>
      <c r="CQ32" s="61">
        <v>12672.353310160001</v>
      </c>
      <c r="CR32" s="61">
        <v>12621.900982499999</v>
      </c>
      <c r="CS32" s="61">
        <v>12357.455486590001</v>
      </c>
      <c r="CT32" s="61">
        <v>11068.21950178</v>
      </c>
      <c r="CU32" s="61">
        <v>10314.85211211</v>
      </c>
      <c r="CV32" s="61">
        <v>9382.2152370099993</v>
      </c>
      <c r="CW32" s="61">
        <v>9960.2189648200001</v>
      </c>
      <c r="CX32" s="61">
        <v>9855.8194960300007</v>
      </c>
      <c r="CY32" s="61">
        <v>9668.1526230599993</v>
      </c>
      <c r="CZ32" s="61">
        <v>9609.2309653400007</v>
      </c>
      <c r="DA32" s="61">
        <v>9533.0040408299992</v>
      </c>
      <c r="DB32" s="61">
        <v>9327.59242748</v>
      </c>
      <c r="DC32" s="61">
        <v>9131.0496941300007</v>
      </c>
      <c r="DD32" s="61">
        <v>8994.8237907300008</v>
      </c>
      <c r="DE32" s="61">
        <v>9006.31368105</v>
      </c>
      <c r="DF32" s="61">
        <v>9061.0072231199993</v>
      </c>
      <c r="DG32" s="61">
        <v>8924.3873356999993</v>
      </c>
    </row>
    <row r="33" spans="1:112" s="72" customFormat="1" x14ac:dyDescent="0.3">
      <c r="A33" s="180" t="s">
        <v>18</v>
      </c>
      <c r="B33" s="181">
        <v>6485.1524116999999</v>
      </c>
      <c r="C33" s="66">
        <v>4821.7016567300006</v>
      </c>
      <c r="D33" s="66">
        <v>4817.4179129799995</v>
      </c>
      <c r="E33" s="66">
        <v>5785.6771037899998</v>
      </c>
      <c r="F33" s="66">
        <v>5508.1971844799991</v>
      </c>
      <c r="G33" s="66">
        <v>7205.9125030799996</v>
      </c>
      <c r="H33" s="66">
        <v>8175.3548131499992</v>
      </c>
      <c r="I33" s="66">
        <v>8104.118645829999</v>
      </c>
      <c r="J33" s="65">
        <v>8421.2786071299997</v>
      </c>
      <c r="K33" s="66">
        <v>8531.1628478700004</v>
      </c>
      <c r="L33" s="182">
        <v>8578.4189341300007</v>
      </c>
      <c r="M33" s="181">
        <v>3168.9472849399999</v>
      </c>
      <c r="N33" s="66">
        <v>3184.8757894300002</v>
      </c>
      <c r="O33" s="66">
        <v>3032.1693702699999</v>
      </c>
      <c r="P33" s="66">
        <v>4029.7869534199999</v>
      </c>
      <c r="Q33" s="66">
        <v>4009.1685364599998</v>
      </c>
      <c r="R33" s="66">
        <v>4013.0559071799998</v>
      </c>
      <c r="S33" s="66">
        <v>3626.76074784</v>
      </c>
      <c r="T33" s="66">
        <v>3705.3430246900002</v>
      </c>
      <c r="U33" s="66">
        <v>3916.57159348</v>
      </c>
      <c r="V33" s="66">
        <v>3919.4350865800002</v>
      </c>
      <c r="W33" s="66">
        <v>3895.19989455</v>
      </c>
      <c r="X33" s="66">
        <v>22908.43228678</v>
      </c>
      <c r="Y33" s="66">
        <v>3830.7170294100001</v>
      </c>
      <c r="Z33" s="66">
        <v>3839.6042334799999</v>
      </c>
      <c r="AA33" s="66">
        <v>3733.3845495700002</v>
      </c>
      <c r="AB33" s="66">
        <v>3766.0278793900002</v>
      </c>
      <c r="AC33" s="66">
        <v>3677.50590586</v>
      </c>
      <c r="AD33" s="66">
        <v>0</v>
      </c>
      <c r="AE33" s="66">
        <v>0</v>
      </c>
      <c r="AF33" s="66">
        <v>0</v>
      </c>
      <c r="AG33" s="66">
        <v>0</v>
      </c>
      <c r="AH33" s="66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</v>
      </c>
      <c r="AQ33" s="66">
        <v>0</v>
      </c>
      <c r="AR33" s="66">
        <v>0</v>
      </c>
      <c r="AS33" s="66">
        <v>0</v>
      </c>
      <c r="AT33" s="66">
        <v>0</v>
      </c>
      <c r="AU33" s="66">
        <v>0</v>
      </c>
      <c r="AV33" s="66">
        <v>0</v>
      </c>
      <c r="AW33" s="66">
        <v>111.91240578</v>
      </c>
      <c r="AX33" s="66">
        <v>0</v>
      </c>
      <c r="AY33" s="66">
        <v>0</v>
      </c>
      <c r="AZ33" s="66">
        <v>0</v>
      </c>
      <c r="BA33" s="66">
        <v>0</v>
      </c>
      <c r="BB33" s="66">
        <v>0</v>
      </c>
      <c r="BC33" s="66">
        <v>0</v>
      </c>
      <c r="BD33" s="66">
        <v>0</v>
      </c>
      <c r="BE33" s="66">
        <v>57.651508579999998</v>
      </c>
      <c r="BF33" s="66">
        <v>0</v>
      </c>
      <c r="BG33" s="66">
        <v>0</v>
      </c>
      <c r="BH33" s="66">
        <v>0</v>
      </c>
      <c r="BI33" s="66">
        <v>0</v>
      </c>
      <c r="BJ33" s="66">
        <v>0</v>
      </c>
      <c r="BK33" s="66">
        <v>0</v>
      </c>
      <c r="BL33" s="66">
        <v>0</v>
      </c>
      <c r="BM33" s="66">
        <v>0</v>
      </c>
      <c r="BN33" s="66">
        <v>0</v>
      </c>
      <c r="BO33" s="66">
        <v>991.55971283999997</v>
      </c>
      <c r="BP33" s="66">
        <v>0</v>
      </c>
      <c r="BQ33" s="66">
        <v>7.0586638800000001</v>
      </c>
      <c r="BR33" s="66">
        <v>7.0586638800000001</v>
      </c>
      <c r="BS33" s="66">
        <v>0</v>
      </c>
      <c r="BT33" s="66">
        <v>0</v>
      </c>
      <c r="BU33" s="66">
        <v>0</v>
      </c>
      <c r="BV33" s="66">
        <v>0</v>
      </c>
      <c r="BW33" s="66">
        <v>0</v>
      </c>
      <c r="BX33" s="66">
        <v>0</v>
      </c>
      <c r="BY33" s="66">
        <v>0</v>
      </c>
      <c r="BZ33" s="66">
        <v>0</v>
      </c>
      <c r="CA33" s="66">
        <v>0</v>
      </c>
      <c r="CB33" s="66">
        <v>0</v>
      </c>
      <c r="CC33" s="66">
        <v>0</v>
      </c>
      <c r="CD33" s="66">
        <v>0</v>
      </c>
      <c r="CE33" s="66">
        <v>0</v>
      </c>
      <c r="CF33" s="66">
        <v>0</v>
      </c>
      <c r="CG33" s="66">
        <v>0</v>
      </c>
      <c r="CH33" s="66">
        <v>0</v>
      </c>
      <c r="CI33" s="66">
        <v>0</v>
      </c>
      <c r="CJ33" s="66">
        <v>0</v>
      </c>
      <c r="CK33" s="66">
        <v>0</v>
      </c>
      <c r="CL33" s="66">
        <v>0</v>
      </c>
      <c r="CM33" s="66">
        <v>0</v>
      </c>
      <c r="CN33" s="66">
        <v>0</v>
      </c>
      <c r="CO33" s="66">
        <v>0</v>
      </c>
      <c r="CP33" s="66">
        <v>0</v>
      </c>
      <c r="CQ33" s="66">
        <v>0</v>
      </c>
      <c r="CR33" s="66">
        <v>0</v>
      </c>
      <c r="CS33" s="66">
        <v>131.77733327000001</v>
      </c>
      <c r="CT33" s="66">
        <v>0</v>
      </c>
      <c r="CU33" s="66">
        <v>0</v>
      </c>
      <c r="CV33" s="66">
        <v>0</v>
      </c>
      <c r="CW33" s="66">
        <v>0</v>
      </c>
      <c r="CX33" s="66">
        <v>0</v>
      </c>
      <c r="CY33" s="66">
        <v>0</v>
      </c>
      <c r="CZ33" s="66">
        <v>0</v>
      </c>
      <c r="DA33" s="66">
        <v>0</v>
      </c>
      <c r="DB33" s="66">
        <v>0</v>
      </c>
      <c r="DC33" s="66">
        <v>0</v>
      </c>
      <c r="DD33" s="66">
        <v>61.851210399999999</v>
      </c>
      <c r="DE33" s="66">
        <v>0</v>
      </c>
      <c r="DF33" s="66">
        <v>0</v>
      </c>
      <c r="DG33" s="66">
        <v>0</v>
      </c>
    </row>
    <row r="34" spans="1:112" s="90" customFormat="1" x14ac:dyDescent="0.3">
      <c r="A34" s="83" t="s">
        <v>20</v>
      </c>
      <c r="B34" s="85">
        <f>IFERROR(100*(B26/B18),0)</f>
        <v>61.298589973827546</v>
      </c>
      <c r="C34" s="86">
        <f t="shared" ref="C34:I34" si="8">IFERROR(100*(C26/C18),0)</f>
        <v>64.077182954136774</v>
      </c>
      <c r="D34" s="85">
        <f t="shared" si="8"/>
        <v>63.219795450691564</v>
      </c>
      <c r="E34" s="85">
        <f t="shared" si="8"/>
        <v>63.663519985406538</v>
      </c>
      <c r="F34" s="85">
        <f t="shared" si="8"/>
        <v>63.738708054270433</v>
      </c>
      <c r="G34" s="85">
        <f t="shared" si="8"/>
        <v>64.091987735617678</v>
      </c>
      <c r="H34" s="85">
        <f t="shared" si="8"/>
        <v>64.82290941464629</v>
      </c>
      <c r="I34" s="85">
        <f t="shared" si="8"/>
        <v>63.735462321289575</v>
      </c>
      <c r="J34" s="85">
        <v>62.965862691951415</v>
      </c>
      <c r="K34" s="85">
        <v>61.7929895055332</v>
      </c>
      <c r="L34" s="89">
        <v>60.6954547941831</v>
      </c>
      <c r="M34" s="85">
        <v>58.429040783060501</v>
      </c>
      <c r="N34" s="89">
        <v>61.617479429901003</v>
      </c>
      <c r="O34" s="89">
        <v>61.093422577141801</v>
      </c>
      <c r="P34" s="89">
        <v>61.839552375469097</v>
      </c>
      <c r="Q34" s="89">
        <v>61.491447547224404</v>
      </c>
      <c r="R34" s="89">
        <v>61.613714114546902</v>
      </c>
      <c r="S34" s="89">
        <v>61.018186319311802</v>
      </c>
      <c r="T34" s="89">
        <v>60.859111482275203</v>
      </c>
      <c r="U34" s="87">
        <v>61.652703289704803</v>
      </c>
      <c r="V34" s="87">
        <v>60.760619939785798</v>
      </c>
      <c r="W34" s="87">
        <v>60.167647866139198</v>
      </c>
      <c r="X34" s="87">
        <v>60.451975657473298</v>
      </c>
      <c r="Y34" s="87">
        <v>58.889199308356403</v>
      </c>
      <c r="Z34" s="87">
        <v>59.208422905605701</v>
      </c>
      <c r="AA34" s="87">
        <v>58.407623848784702</v>
      </c>
      <c r="AB34" s="87">
        <v>57.618400285921602</v>
      </c>
      <c r="AC34" s="87">
        <v>57.905848071924197</v>
      </c>
      <c r="AD34" s="87">
        <v>57.827780298472703</v>
      </c>
      <c r="AE34" s="87">
        <v>57.196144801638198</v>
      </c>
      <c r="AF34" s="87">
        <v>56.313833157161397</v>
      </c>
      <c r="AG34" s="87">
        <v>55.913734535837897</v>
      </c>
      <c r="AH34" s="87">
        <v>55.493115388285702</v>
      </c>
      <c r="AI34" s="87">
        <v>54.607707793472002</v>
      </c>
      <c r="AJ34" s="87">
        <v>54.860695094220397</v>
      </c>
      <c r="AK34" s="87">
        <v>54.478530533051597</v>
      </c>
      <c r="AL34" s="87">
        <v>54.580762823212197</v>
      </c>
      <c r="AM34" s="87">
        <v>54.345270204395902</v>
      </c>
      <c r="AN34" s="87">
        <v>56.159778420596098</v>
      </c>
      <c r="AO34" s="87">
        <v>56.388394158874</v>
      </c>
      <c r="AP34" s="87">
        <v>56.864941960079598</v>
      </c>
      <c r="AQ34" s="87">
        <v>54.773216815758602</v>
      </c>
      <c r="AR34" s="87">
        <v>53.884665305556801</v>
      </c>
      <c r="AS34" s="87">
        <v>53.606481301715299</v>
      </c>
      <c r="AT34" s="87">
        <v>49.777894964914402</v>
      </c>
      <c r="AU34" s="87">
        <v>47.463671437258597</v>
      </c>
      <c r="AV34" s="87">
        <v>44.655626552139999</v>
      </c>
      <c r="AW34" s="87">
        <v>44.067773007332299</v>
      </c>
      <c r="AX34" s="87">
        <v>44.195458134006898</v>
      </c>
      <c r="AY34" s="87">
        <v>43.364182298110002</v>
      </c>
      <c r="AZ34" s="87">
        <v>43.8099121851156</v>
      </c>
      <c r="BA34" s="87">
        <v>43.980885472268398</v>
      </c>
      <c r="BB34" s="87">
        <v>42.364272147115102</v>
      </c>
      <c r="BC34" s="87">
        <v>41.665928306651303</v>
      </c>
      <c r="BD34" s="87">
        <v>40.756716818434597</v>
      </c>
      <c r="BE34" s="87">
        <v>38.934762824127198</v>
      </c>
      <c r="BF34" s="87">
        <v>35.797682373984799</v>
      </c>
      <c r="BG34" s="87">
        <v>34.8691074912578</v>
      </c>
      <c r="BH34" s="87">
        <v>30.499736232211799</v>
      </c>
      <c r="BI34" s="87">
        <v>30.0841449913246</v>
      </c>
      <c r="BJ34" s="87">
        <v>29.269777488249002</v>
      </c>
      <c r="BK34" s="87">
        <v>21.891047779048733</v>
      </c>
      <c r="BL34" s="87">
        <v>22.587979928785899</v>
      </c>
      <c r="BM34" s="87">
        <v>23.860004253417198</v>
      </c>
      <c r="BN34" s="87">
        <v>24.6905949971155</v>
      </c>
      <c r="BO34" s="87">
        <v>26.126094041797</v>
      </c>
      <c r="BP34" s="87">
        <v>26.2316002405856</v>
      </c>
      <c r="BQ34" s="87">
        <v>27.399536670423402</v>
      </c>
      <c r="BR34" s="87">
        <v>29.2758067301503</v>
      </c>
      <c r="BS34" s="87">
        <v>32.4699281740846</v>
      </c>
      <c r="BT34" s="87">
        <v>33.513917084653897</v>
      </c>
      <c r="BU34" s="87">
        <v>34.254710572235098</v>
      </c>
      <c r="BV34" s="87">
        <v>32.999562858458297</v>
      </c>
      <c r="BW34" s="87">
        <v>33.382050443082697</v>
      </c>
      <c r="BX34" s="87">
        <v>34.121189467363301</v>
      </c>
      <c r="BY34" s="87">
        <v>35.162672314206802</v>
      </c>
      <c r="BZ34" s="87">
        <v>34.669978756566699</v>
      </c>
      <c r="CA34" s="87">
        <v>35.116270935326703</v>
      </c>
      <c r="CB34" s="87">
        <v>35.816950878940901</v>
      </c>
      <c r="CC34" s="87">
        <v>35.788436862181896</v>
      </c>
      <c r="CD34" s="87">
        <v>35.740859220643898</v>
      </c>
      <c r="CE34" s="87">
        <v>34.919782750642703</v>
      </c>
      <c r="CF34" s="87">
        <v>34.142937467779497</v>
      </c>
      <c r="CG34" s="87">
        <v>36.477066956046301</v>
      </c>
      <c r="CH34" s="87">
        <v>34.980148627768301</v>
      </c>
      <c r="CI34" s="87">
        <v>35.166295760131803</v>
      </c>
      <c r="CJ34" s="87">
        <v>35.475766788127302</v>
      </c>
      <c r="CK34" s="87">
        <v>34.875316092178203</v>
      </c>
      <c r="CL34" s="87">
        <v>34.788419656714801</v>
      </c>
      <c r="CM34" s="87">
        <v>35.704016332603501</v>
      </c>
      <c r="CN34" s="87">
        <v>35.044066189511199</v>
      </c>
      <c r="CO34" s="87">
        <v>34.034513220000299</v>
      </c>
      <c r="CP34" s="87">
        <v>32.8982841678353</v>
      </c>
      <c r="CQ34" s="87">
        <v>33.579986768396701</v>
      </c>
      <c r="CR34" s="87">
        <v>31.6934797293668</v>
      </c>
      <c r="CS34" s="87">
        <v>30.7623721943236</v>
      </c>
      <c r="CT34" s="87">
        <v>30.897059648006302</v>
      </c>
      <c r="CU34" s="87">
        <v>31.157952546218802</v>
      </c>
      <c r="CV34" s="87">
        <v>29.397514528412898</v>
      </c>
      <c r="CW34" s="87">
        <v>29.321284244009401</v>
      </c>
      <c r="CX34" s="87">
        <v>29.668371502630499</v>
      </c>
      <c r="CY34" s="87">
        <v>27.778125993565499</v>
      </c>
      <c r="CZ34" s="87">
        <v>27.549680387731399</v>
      </c>
      <c r="DA34" s="87">
        <v>26.786429033162101</v>
      </c>
      <c r="DB34" s="87">
        <v>26.673383227376501</v>
      </c>
      <c r="DC34" s="87">
        <v>26.0637942597604</v>
      </c>
      <c r="DD34" s="87">
        <v>25.3775516305782</v>
      </c>
      <c r="DE34" s="87">
        <v>22.115738917711901</v>
      </c>
      <c r="DF34" s="87">
        <v>22.107069790874199</v>
      </c>
      <c r="DG34" s="87">
        <v>20.546163547210401</v>
      </c>
    </row>
    <row r="35" spans="1:112" s="40" customFormat="1" x14ac:dyDescent="0.3">
      <c r="A35" s="95" t="s">
        <v>12</v>
      </c>
      <c r="B35" s="92"/>
      <c r="C35" s="93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37"/>
      <c r="O35" s="94"/>
      <c r="P35" s="94"/>
      <c r="Q35" s="92"/>
      <c r="R35" s="92"/>
      <c r="S35" s="92"/>
      <c r="T35" s="92"/>
      <c r="U35" s="94"/>
      <c r="V35" s="94"/>
      <c r="W35" s="94"/>
      <c r="X35" s="94"/>
      <c r="Y35" s="94"/>
      <c r="Z35" s="94"/>
      <c r="AA35" s="94"/>
      <c r="AB35" s="94"/>
      <c r="AC35" s="94"/>
      <c r="AD35" s="94"/>
      <c r="AE35" s="94"/>
      <c r="AF35" s="94"/>
      <c r="AG35" s="94"/>
      <c r="AH35" s="94"/>
      <c r="AI35" s="94"/>
      <c r="AJ35" s="94"/>
      <c r="AK35" s="94"/>
      <c r="AL35" s="94"/>
      <c r="AM35" s="94"/>
      <c r="AN35" s="94"/>
      <c r="AO35" s="94"/>
      <c r="AP35" s="94"/>
      <c r="AQ35" s="94"/>
      <c r="AR35" s="94"/>
      <c r="AS35" s="94"/>
      <c r="AT35" s="94"/>
      <c r="AU35" s="94"/>
      <c r="AV35" s="94"/>
      <c r="AW35" s="94"/>
      <c r="AX35" s="94"/>
      <c r="AY35" s="94"/>
      <c r="AZ35" s="94"/>
      <c r="BA35" s="94"/>
      <c r="BB35" s="94"/>
      <c r="BC35" s="94"/>
      <c r="BD35" s="94"/>
      <c r="BE35" s="94"/>
      <c r="BF35" s="94"/>
      <c r="BG35" s="94"/>
      <c r="BH35" s="94"/>
      <c r="BI35" s="94"/>
      <c r="BJ35" s="94"/>
      <c r="BK35" s="94"/>
      <c r="BL35" s="94"/>
      <c r="BM35" s="94"/>
      <c r="BN35" s="94"/>
      <c r="BO35" s="94"/>
      <c r="BP35" s="94"/>
      <c r="BQ35" s="94"/>
      <c r="BR35" s="94"/>
      <c r="BS35" s="94"/>
      <c r="BT35" s="94"/>
      <c r="BU35" s="94"/>
      <c r="BV35" s="94"/>
      <c r="BW35" s="94"/>
      <c r="BX35" s="94"/>
      <c r="BY35" s="94"/>
      <c r="BZ35" s="94"/>
      <c r="CA35" s="94"/>
      <c r="CB35" s="94"/>
      <c r="CC35" s="94"/>
      <c r="CD35" s="94"/>
      <c r="CE35" s="94"/>
      <c r="CF35" s="94"/>
      <c r="CG35" s="94"/>
      <c r="CH35" s="94"/>
      <c r="CI35" s="94"/>
      <c r="CJ35" s="94"/>
      <c r="CK35" s="94"/>
      <c r="CL35" s="94"/>
      <c r="CM35" s="94"/>
      <c r="CN35" s="94"/>
      <c r="CO35" s="94"/>
      <c r="CP35" s="94"/>
      <c r="CQ35" s="94"/>
      <c r="CR35" s="94"/>
      <c r="CS35" s="94"/>
      <c r="CT35" s="94"/>
      <c r="CU35" s="94"/>
      <c r="CV35" s="94"/>
      <c r="CW35" s="94"/>
      <c r="CX35" s="94"/>
      <c r="CY35" s="94"/>
      <c r="CZ35" s="94"/>
      <c r="DA35" s="94"/>
      <c r="DB35" s="94"/>
      <c r="DC35" s="94"/>
      <c r="DD35" s="94"/>
      <c r="DE35" s="94"/>
      <c r="DF35" s="94"/>
      <c r="DG35" s="94"/>
    </row>
    <row r="36" spans="1:112" s="40" customFormat="1" x14ac:dyDescent="0.3">
      <c r="A36" s="91" t="s">
        <v>13</v>
      </c>
      <c r="B36" s="92">
        <f t="shared" ref="B36:I41" si="9">IFERROR(100*(B28/B20),0)</f>
        <v>83.302510818536447</v>
      </c>
      <c r="C36" s="96">
        <f t="shared" si="9"/>
        <v>74.68005571003556</v>
      </c>
      <c r="D36" s="92">
        <f t="shared" si="9"/>
        <v>74.537719718498025</v>
      </c>
      <c r="E36" s="92">
        <f t="shared" si="9"/>
        <v>74.432247374814025</v>
      </c>
      <c r="F36" s="92">
        <f t="shared" si="9"/>
        <v>74.577824388590287</v>
      </c>
      <c r="G36" s="92">
        <f t="shared" si="9"/>
        <v>74.388479480385357</v>
      </c>
      <c r="H36" s="92">
        <f t="shared" si="9"/>
        <v>73.291216525800891</v>
      </c>
      <c r="I36" s="92">
        <f t="shared" si="9"/>
        <v>72.152667198788706</v>
      </c>
      <c r="J36" s="92">
        <v>72.198936141800431</v>
      </c>
      <c r="K36" s="92">
        <v>69.843479534698503</v>
      </c>
      <c r="L36" s="37">
        <v>69.250520850261594</v>
      </c>
      <c r="M36" s="92">
        <v>69.589986818385796</v>
      </c>
      <c r="N36" s="94">
        <v>71.959525031493101</v>
      </c>
      <c r="O36" s="92">
        <v>72.002950557546498</v>
      </c>
      <c r="P36" s="92">
        <v>72.410605993156807</v>
      </c>
      <c r="Q36" s="94">
        <v>71.439156020047804</v>
      </c>
      <c r="R36" s="92">
        <v>71.101588001053798</v>
      </c>
      <c r="S36" s="92">
        <v>69.881139573060494</v>
      </c>
      <c r="T36" s="92">
        <v>70.156023315622306</v>
      </c>
      <c r="U36" s="92">
        <v>69.523483900646895</v>
      </c>
      <c r="V36" s="92">
        <v>68.464638109506893</v>
      </c>
      <c r="W36" s="92">
        <v>68.075384208432595</v>
      </c>
      <c r="X36" s="92">
        <v>67.402758738338406</v>
      </c>
      <c r="Y36" s="92">
        <v>66.7294239584471</v>
      </c>
      <c r="Z36" s="92">
        <v>66.564300085630904</v>
      </c>
      <c r="AA36" s="92">
        <v>62.922397955634302</v>
      </c>
      <c r="AB36" s="92">
        <v>61.942795926596801</v>
      </c>
      <c r="AC36" s="92">
        <v>63.884373885704299</v>
      </c>
      <c r="AD36" s="92">
        <v>64.176469919673494</v>
      </c>
      <c r="AE36" s="92">
        <v>63.683201165230003</v>
      </c>
      <c r="AF36" s="92">
        <v>63.0743164677111</v>
      </c>
      <c r="AG36" s="92">
        <v>62.656581412245799</v>
      </c>
      <c r="AH36" s="92">
        <v>62.642281390266596</v>
      </c>
      <c r="AI36" s="92">
        <v>60.6524432853818</v>
      </c>
      <c r="AJ36" s="92">
        <v>60.861916433659196</v>
      </c>
      <c r="AK36" s="92">
        <v>61.9105999395846</v>
      </c>
      <c r="AL36" s="92">
        <v>62.123458717897201</v>
      </c>
      <c r="AM36" s="92">
        <v>61.949987044586003</v>
      </c>
      <c r="AN36" s="92">
        <v>64.852185420333598</v>
      </c>
      <c r="AO36" s="92">
        <v>65.057633033815804</v>
      </c>
      <c r="AP36" s="92">
        <v>64.864173888011905</v>
      </c>
      <c r="AQ36" s="92">
        <v>60.905891603369497</v>
      </c>
      <c r="AR36" s="92">
        <v>60.917823369602097</v>
      </c>
      <c r="AS36" s="92">
        <v>59.971061960742603</v>
      </c>
      <c r="AT36" s="92">
        <v>56.234453985431003</v>
      </c>
      <c r="AU36" s="92">
        <v>52.264180671512101</v>
      </c>
      <c r="AV36" s="92">
        <v>47.6282687947702</v>
      </c>
      <c r="AW36" s="92">
        <v>47.122081413755097</v>
      </c>
      <c r="AX36" s="92">
        <v>48.113846460555401</v>
      </c>
      <c r="AY36" s="92">
        <v>46.616708381079199</v>
      </c>
      <c r="AZ36" s="92">
        <v>47.272682634151501</v>
      </c>
      <c r="BA36" s="92">
        <v>48.758733596493101</v>
      </c>
      <c r="BB36" s="92">
        <v>46.7448400558619</v>
      </c>
      <c r="BC36" s="92">
        <v>45.439669830057397</v>
      </c>
      <c r="BD36" s="92">
        <v>43.445079259973497</v>
      </c>
      <c r="BE36" s="92">
        <v>41.502858976981898</v>
      </c>
      <c r="BF36" s="92">
        <v>37.564938787044298</v>
      </c>
      <c r="BG36" s="92">
        <v>37.155575380206201</v>
      </c>
      <c r="BH36" s="92">
        <v>31.672488724001798</v>
      </c>
      <c r="BI36" s="92">
        <v>31.045202902106102</v>
      </c>
      <c r="BJ36" s="92">
        <v>29.751213785377001</v>
      </c>
      <c r="BK36" s="92">
        <v>32.60969551051074</v>
      </c>
      <c r="BL36" s="92">
        <v>32.679313435746302</v>
      </c>
      <c r="BM36" s="92">
        <v>34.817079509443197</v>
      </c>
      <c r="BN36" s="92">
        <v>35.494176321104597</v>
      </c>
      <c r="BO36" s="92">
        <v>35.186521121744398</v>
      </c>
      <c r="BP36" s="92">
        <v>33.5310241686255</v>
      </c>
      <c r="BQ36" s="92">
        <v>36.393888087862301</v>
      </c>
      <c r="BR36" s="92">
        <v>38.088661521306101</v>
      </c>
      <c r="BS36" s="92">
        <v>44.6249810454905</v>
      </c>
      <c r="BT36" s="92">
        <v>46.224437722602602</v>
      </c>
      <c r="BU36" s="92">
        <v>48.327921507515804</v>
      </c>
      <c r="BV36" s="92">
        <v>44.3893392051897</v>
      </c>
      <c r="BW36" s="92">
        <v>44.573352231760502</v>
      </c>
      <c r="BX36" s="92">
        <v>45.558841282692399</v>
      </c>
      <c r="BY36" s="92">
        <v>47.1403466446802</v>
      </c>
      <c r="BZ36" s="92">
        <v>45.791042811229097</v>
      </c>
      <c r="CA36" s="92">
        <v>46.609082109056303</v>
      </c>
      <c r="CB36" s="92">
        <v>45.922433458084299</v>
      </c>
      <c r="CC36" s="92">
        <v>47.104247801365403</v>
      </c>
      <c r="CD36" s="92">
        <v>46.710330884499101</v>
      </c>
      <c r="CE36" s="92">
        <v>45.440258700101701</v>
      </c>
      <c r="CF36" s="92">
        <v>43.840284773134996</v>
      </c>
      <c r="CG36" s="92">
        <v>49.623240843776202</v>
      </c>
      <c r="CH36" s="92">
        <v>45.572534716013401</v>
      </c>
      <c r="CI36" s="92">
        <v>45.758837328625702</v>
      </c>
      <c r="CJ36" s="92">
        <v>47.5087091466591</v>
      </c>
      <c r="CK36" s="92">
        <v>45.604919804302703</v>
      </c>
      <c r="CL36" s="92">
        <v>44.7632920765694</v>
      </c>
      <c r="CM36" s="92">
        <v>46.736188805814102</v>
      </c>
      <c r="CN36" s="92">
        <v>46.557363507225901</v>
      </c>
      <c r="CO36" s="92">
        <v>43.925395404115001</v>
      </c>
      <c r="CP36" s="92">
        <v>41.868126543644301</v>
      </c>
      <c r="CQ36" s="92">
        <v>43.267018885297503</v>
      </c>
      <c r="CR36" s="92">
        <v>40.998029964950497</v>
      </c>
      <c r="CS36" s="92">
        <v>41.173096186468001</v>
      </c>
      <c r="CT36" s="92">
        <v>40.0011154696831</v>
      </c>
      <c r="CU36" s="92">
        <v>40.588787163612601</v>
      </c>
      <c r="CV36" s="92">
        <v>37.904464748231</v>
      </c>
      <c r="CW36" s="92">
        <v>38.227923422569198</v>
      </c>
      <c r="CX36" s="92">
        <v>38.251216152017399</v>
      </c>
      <c r="CY36" s="92">
        <v>34.316986543164496</v>
      </c>
      <c r="CZ36" s="92">
        <v>35.413534827662502</v>
      </c>
      <c r="DA36" s="92">
        <v>34.696812452334598</v>
      </c>
      <c r="DB36" s="92">
        <v>34.866134463610699</v>
      </c>
      <c r="DC36" s="92">
        <v>34.335484388226597</v>
      </c>
      <c r="DD36" s="92">
        <v>33.189927494027899</v>
      </c>
      <c r="DE36" s="92">
        <v>29.847623679843</v>
      </c>
      <c r="DF36" s="92">
        <v>29.257374032540302</v>
      </c>
      <c r="DG36" s="92">
        <v>26.348099987362598</v>
      </c>
    </row>
    <row r="37" spans="1:112" s="40" customFormat="1" x14ac:dyDescent="0.3">
      <c r="A37" s="38" t="s">
        <v>14</v>
      </c>
      <c r="B37" s="92">
        <f t="shared" si="9"/>
        <v>93.491192609838563</v>
      </c>
      <c r="C37" s="96">
        <f t="shared" si="9"/>
        <v>93.367001995988147</v>
      </c>
      <c r="D37" s="92">
        <f t="shared" si="9"/>
        <v>96.680580925076924</v>
      </c>
      <c r="E37" s="92">
        <f t="shared" si="9"/>
        <v>98.767508852901869</v>
      </c>
      <c r="F37" s="92">
        <f t="shared" si="9"/>
        <v>98.767508852901869</v>
      </c>
      <c r="G37" s="92">
        <f t="shared" si="9"/>
        <v>98.902729448423912</v>
      </c>
      <c r="H37" s="92">
        <f t="shared" si="9"/>
        <v>94.855677991737778</v>
      </c>
      <c r="I37" s="92">
        <f t="shared" si="9"/>
        <v>90.619240347148704</v>
      </c>
      <c r="J37" s="92">
        <v>90.501787488545077</v>
      </c>
      <c r="K37" s="92">
        <v>93.840829123802294</v>
      </c>
      <c r="L37" s="94">
        <v>93.870217661668605</v>
      </c>
      <c r="M37" s="92">
        <v>99.090193675149706</v>
      </c>
      <c r="N37" s="37">
        <v>99.097650892774894</v>
      </c>
      <c r="O37" s="94">
        <v>99.120549886872993</v>
      </c>
      <c r="P37" s="37">
        <v>97.728244764786993</v>
      </c>
      <c r="Q37" s="94">
        <v>98.035419193631199</v>
      </c>
      <c r="R37" s="92">
        <v>99.090721731800798</v>
      </c>
      <c r="S37" s="92">
        <v>96.845341665422296</v>
      </c>
      <c r="T37" s="92">
        <v>97.958764787597005</v>
      </c>
      <c r="U37" s="92">
        <v>99.143593054052701</v>
      </c>
      <c r="V37" s="92">
        <v>93.400516990080106</v>
      </c>
      <c r="W37" s="92">
        <v>99.264267585046198</v>
      </c>
      <c r="X37" s="92">
        <v>96.536371407717994</v>
      </c>
      <c r="Y37" s="92">
        <v>96.499348873418498</v>
      </c>
      <c r="Z37" s="92">
        <v>96.5165519189121</v>
      </c>
      <c r="AA37" s="92">
        <v>96.488682877232307</v>
      </c>
      <c r="AB37" s="92">
        <v>96.405376879336998</v>
      </c>
      <c r="AC37" s="92">
        <v>95.782680118592495</v>
      </c>
      <c r="AD37" s="92">
        <v>95.6115637748604</v>
      </c>
      <c r="AE37" s="92">
        <v>95.573454283069196</v>
      </c>
      <c r="AF37" s="92">
        <v>95.492190806541103</v>
      </c>
      <c r="AG37" s="92">
        <v>95.517391200405996</v>
      </c>
      <c r="AH37" s="92">
        <v>95.434568413171505</v>
      </c>
      <c r="AI37" s="92">
        <v>86.568303045455195</v>
      </c>
      <c r="AJ37" s="92">
        <v>83.636809894700406</v>
      </c>
      <c r="AK37" s="92">
        <v>83.563320583754304</v>
      </c>
      <c r="AL37" s="92">
        <v>83.604198671014601</v>
      </c>
      <c r="AM37" s="92">
        <v>83.618497463587502</v>
      </c>
      <c r="AN37" s="92">
        <v>85.673993573707605</v>
      </c>
      <c r="AO37" s="92">
        <v>85.721577708904206</v>
      </c>
      <c r="AP37" s="92">
        <v>84.622010532084005</v>
      </c>
      <c r="AQ37" s="92">
        <v>84.357887158257498</v>
      </c>
      <c r="AR37" s="92">
        <v>84.576446711789799</v>
      </c>
      <c r="AS37" s="92">
        <v>84.586705959898296</v>
      </c>
      <c r="AT37" s="92">
        <v>84.577373241023906</v>
      </c>
      <c r="AU37" s="92">
        <v>79.383981044044504</v>
      </c>
      <c r="AV37" s="92">
        <v>64.492700372298003</v>
      </c>
      <c r="AW37" s="92">
        <v>62.503751323765201</v>
      </c>
      <c r="AX37" s="92">
        <v>62.552130281723798</v>
      </c>
      <c r="AY37" s="92">
        <v>62.000127586035298</v>
      </c>
      <c r="AZ37" s="92">
        <v>61.832753474632803</v>
      </c>
      <c r="BA37" s="92">
        <v>61.836679066443899</v>
      </c>
      <c r="BB37" s="92">
        <v>62.154595866469698</v>
      </c>
      <c r="BC37" s="92">
        <v>62.058596568259901</v>
      </c>
      <c r="BD37" s="92">
        <v>62.0107997156964</v>
      </c>
      <c r="BE37" s="92">
        <v>61.735049946786098</v>
      </c>
      <c r="BF37" s="92">
        <v>61.430661786868598</v>
      </c>
      <c r="BG37" s="92">
        <v>61.122915162872602</v>
      </c>
      <c r="BH37" s="92">
        <v>61.2864635528164</v>
      </c>
      <c r="BI37" s="92">
        <v>69.611157000508001</v>
      </c>
      <c r="BJ37" s="92">
        <v>61.159176075259303</v>
      </c>
      <c r="BK37" s="92">
        <v>74.818284289491459</v>
      </c>
      <c r="BL37" s="92">
        <v>84.172278606733201</v>
      </c>
      <c r="BM37" s="92">
        <v>84.447117169333893</v>
      </c>
      <c r="BN37" s="92">
        <v>70.619527354802898</v>
      </c>
      <c r="BO37" s="92">
        <v>70.100641502853904</v>
      </c>
      <c r="BP37" s="92">
        <v>71.788483013649</v>
      </c>
      <c r="BQ37" s="92">
        <v>71.857019653958403</v>
      </c>
      <c r="BR37" s="92">
        <v>71.935741457245697</v>
      </c>
      <c r="BS37" s="92">
        <v>71.949645816279798</v>
      </c>
      <c r="BT37" s="92">
        <v>71.927652018592198</v>
      </c>
      <c r="BU37" s="92">
        <v>62.4740393012572</v>
      </c>
      <c r="BV37" s="92">
        <v>50.509204478243099</v>
      </c>
      <c r="BW37" s="92">
        <v>50.584056686014002</v>
      </c>
      <c r="BX37" s="92">
        <v>50.6472453382558</v>
      </c>
      <c r="BY37" s="92">
        <v>50.760404438158901</v>
      </c>
      <c r="BZ37" s="92">
        <v>50.946183145457901</v>
      </c>
      <c r="CA37" s="92">
        <v>50.859535885226599</v>
      </c>
      <c r="CB37" s="92">
        <v>50.779239347665701</v>
      </c>
      <c r="CC37" s="92">
        <v>51.618256299570298</v>
      </c>
      <c r="CD37" s="92">
        <v>46.3506494773874</v>
      </c>
      <c r="CE37" s="92">
        <v>46.1771954462452</v>
      </c>
      <c r="CF37" s="92">
        <v>45.827182955222</v>
      </c>
      <c r="CG37" s="92">
        <v>57.704934545334297</v>
      </c>
      <c r="CH37" s="92">
        <v>37.714403366802401</v>
      </c>
      <c r="CI37" s="92">
        <v>37.791136148880902</v>
      </c>
      <c r="CJ37" s="92">
        <v>45.524625608825701</v>
      </c>
      <c r="CK37" s="92">
        <v>37.644472770793698</v>
      </c>
      <c r="CL37" s="92">
        <v>34.603933104692203</v>
      </c>
      <c r="CM37" s="92">
        <v>45.704243616931599</v>
      </c>
      <c r="CN37" s="92">
        <v>45.7084885730766</v>
      </c>
      <c r="CO37" s="92">
        <v>45.337671726707697</v>
      </c>
      <c r="CP37" s="92">
        <v>34.547148360549201</v>
      </c>
      <c r="CQ37" s="92">
        <v>39.722050359219097</v>
      </c>
      <c r="CR37" s="92">
        <v>36.950980620669803</v>
      </c>
      <c r="CS37" s="92">
        <v>40.092335542843003</v>
      </c>
      <c r="CT37" s="92">
        <v>31.062887140018798</v>
      </c>
      <c r="CU37" s="92">
        <v>31.111398386067201</v>
      </c>
      <c r="CV37" s="92">
        <v>28.999252174528301</v>
      </c>
      <c r="CW37" s="92">
        <v>28.900381477322298</v>
      </c>
      <c r="CX37" s="92">
        <v>28.6007168167096</v>
      </c>
      <c r="CY37" s="92">
        <v>19.4163092223192</v>
      </c>
      <c r="CZ37" s="92">
        <v>20.916494443497299</v>
      </c>
      <c r="DA37" s="92">
        <v>21.1549214576232</v>
      </c>
      <c r="DB37" s="92">
        <v>21.501023010237301</v>
      </c>
      <c r="DC37" s="92">
        <v>23.014675637019501</v>
      </c>
      <c r="DD37" s="92">
        <v>21.825321924428099</v>
      </c>
      <c r="DE37" s="92">
        <v>12.4203461475725</v>
      </c>
      <c r="DF37" s="92">
        <v>11.3756596771149</v>
      </c>
      <c r="DG37" s="92">
        <v>10.235889767576399</v>
      </c>
    </row>
    <row r="38" spans="1:112" s="40" customFormat="1" ht="18" customHeight="1" x14ac:dyDescent="0.3">
      <c r="A38" s="183" t="s">
        <v>15</v>
      </c>
      <c r="B38" s="92">
        <f t="shared" si="9"/>
        <v>42.274330873449792</v>
      </c>
      <c r="C38" s="96">
        <f t="shared" si="9"/>
        <v>69.61087766620831</v>
      </c>
      <c r="D38" s="92">
        <f t="shared" si="9"/>
        <v>68.641282986642977</v>
      </c>
      <c r="E38" s="92">
        <f t="shared" si="9"/>
        <v>68.028678838581371</v>
      </c>
      <c r="F38" s="92">
        <f t="shared" si="9"/>
        <v>68.223637968823297</v>
      </c>
      <c r="G38" s="92">
        <f t="shared" si="9"/>
        <v>68.057106199705828</v>
      </c>
      <c r="H38" s="92">
        <f t="shared" si="9"/>
        <v>67.326357533722046</v>
      </c>
      <c r="I38" s="92">
        <f t="shared" si="9"/>
        <v>66.834671185351795</v>
      </c>
      <c r="J38" s="92">
        <v>66.906485764537337</v>
      </c>
      <c r="K38" s="92">
        <v>63.435197885670455</v>
      </c>
      <c r="L38" s="92">
        <v>62.737411330575739</v>
      </c>
      <c r="M38" s="92">
        <v>61.503605917651207</v>
      </c>
      <c r="N38" s="94">
        <v>64.966428907748664</v>
      </c>
      <c r="O38" s="92">
        <v>64.936544821174905</v>
      </c>
      <c r="P38" s="94">
        <v>66.033990981657951</v>
      </c>
      <c r="Q38" s="92">
        <v>64.865868494511275</v>
      </c>
      <c r="R38" s="92">
        <v>64.318594766307584</v>
      </c>
      <c r="S38" s="92">
        <v>63.23486447751705</v>
      </c>
      <c r="T38" s="92">
        <v>63.448021065574054</v>
      </c>
      <c r="U38" s="92">
        <v>62.549499781093253</v>
      </c>
      <c r="V38" s="92">
        <v>61.320349956912423</v>
      </c>
      <c r="W38" s="92">
        <v>59.742838076992307</v>
      </c>
      <c r="X38" s="92">
        <v>59.425059554988501</v>
      </c>
      <c r="Y38" s="92">
        <v>58.687027908417186</v>
      </c>
      <c r="Z38" s="92">
        <v>58.466125462914071</v>
      </c>
      <c r="AA38" s="92">
        <v>53.991836208002326</v>
      </c>
      <c r="AB38" s="92">
        <v>52.988877179250231</v>
      </c>
      <c r="AC38" s="92">
        <v>55.156784781762859</v>
      </c>
      <c r="AD38" s="92">
        <v>55.579125606876076</v>
      </c>
      <c r="AE38" s="92">
        <v>54.914205537448893</v>
      </c>
      <c r="AF38" s="92">
        <v>54.37440758002051</v>
      </c>
      <c r="AG38" s="92">
        <v>53.783444475750208</v>
      </c>
      <c r="AH38" s="92">
        <v>53.727404492397852</v>
      </c>
      <c r="AI38" s="92">
        <v>52.861304418940037</v>
      </c>
      <c r="AJ38" s="92">
        <v>53.661012775232656</v>
      </c>
      <c r="AK38" s="92">
        <v>54.903545124518395</v>
      </c>
      <c r="AL38" s="92">
        <v>55.17481033797786</v>
      </c>
      <c r="AM38" s="92">
        <v>54.912948613939463</v>
      </c>
      <c r="AN38" s="92">
        <v>57.855259798868175</v>
      </c>
      <c r="AO38" s="92">
        <v>58.086362613909159</v>
      </c>
      <c r="AP38" s="92">
        <v>58.08182473789234</v>
      </c>
      <c r="AQ38" s="92">
        <v>51.798081630704914</v>
      </c>
      <c r="AR38" s="92">
        <v>51.722954891287415</v>
      </c>
      <c r="AS38" s="92">
        <v>50.592495606181245</v>
      </c>
      <c r="AT38" s="92">
        <v>44.019381924011135</v>
      </c>
      <c r="AU38" s="92">
        <v>43.667781950069809</v>
      </c>
      <c r="AV38" s="92">
        <v>44.469749022835984</v>
      </c>
      <c r="AW38" s="92">
        <v>44.330209205281392</v>
      </c>
      <c r="AX38" s="92">
        <v>45.503466505323374</v>
      </c>
      <c r="AY38" s="92">
        <v>43.910733190351159</v>
      </c>
      <c r="AZ38" s="92">
        <v>44.642469133078961</v>
      </c>
      <c r="BA38" s="92">
        <v>46.406770180168962</v>
      </c>
      <c r="BB38" s="92">
        <v>43.810115789709187</v>
      </c>
      <c r="BC38" s="92">
        <v>42.185420904678992</v>
      </c>
      <c r="BD38" s="92">
        <v>39.794627031151684</v>
      </c>
      <c r="BE38" s="92">
        <v>37.674407887913631</v>
      </c>
      <c r="BF38" s="92">
        <v>32.659079761957258</v>
      </c>
      <c r="BG38" s="92">
        <v>32.412141649165392</v>
      </c>
      <c r="BH38" s="92">
        <v>25.011510154633143</v>
      </c>
      <c r="BI38" s="92">
        <v>23.438262261769477</v>
      </c>
      <c r="BJ38" s="92">
        <v>22.882841353379391</v>
      </c>
      <c r="BK38" s="92">
        <v>24.866260285748627</v>
      </c>
      <c r="BL38" s="92">
        <v>24.096303696199421</v>
      </c>
      <c r="BM38" s="92">
        <v>26.190069476371811</v>
      </c>
      <c r="BN38" s="92">
        <v>28.151145730616594</v>
      </c>
      <c r="BO38" s="92">
        <v>28.158343397285762</v>
      </c>
      <c r="BP38" s="92">
        <v>26.449055704198202</v>
      </c>
      <c r="BQ38" s="92">
        <v>29.384120896656135</v>
      </c>
      <c r="BR38" s="92">
        <v>31.566492413057095</v>
      </c>
      <c r="BS38" s="92">
        <v>39.182957406499817</v>
      </c>
      <c r="BT38" s="92">
        <v>41.11105077883068</v>
      </c>
      <c r="BU38" s="92">
        <v>46.127734536069596</v>
      </c>
      <c r="BV38" s="92">
        <v>43.286617278943979</v>
      </c>
      <c r="BW38" s="92">
        <v>43.47709936067114</v>
      </c>
      <c r="BX38" s="92">
        <v>44.625775463680412</v>
      </c>
      <c r="BY38" s="92">
        <v>46.469147490205138</v>
      </c>
      <c r="BZ38" s="92">
        <v>44.806256279387419</v>
      </c>
      <c r="CA38" s="92">
        <v>45.779996868568489</v>
      </c>
      <c r="CB38" s="92">
        <v>45.171085669478437</v>
      </c>
      <c r="CC38" s="92">
        <v>46.415094671336135</v>
      </c>
      <c r="CD38" s="92">
        <v>46.772811269493559</v>
      </c>
      <c r="CE38" s="92">
        <v>45.316484614133003</v>
      </c>
      <c r="CF38" s="92">
        <v>43.508317466978149</v>
      </c>
      <c r="CG38" s="92">
        <v>48.44591008499652</v>
      </c>
      <c r="CH38" s="92">
        <v>47.299514400849958</v>
      </c>
      <c r="CI38" s="92">
        <v>47.541469523647088</v>
      </c>
      <c r="CJ38" s="92">
        <v>47.882788354209225</v>
      </c>
      <c r="CK38" s="92">
        <v>47.441597193655319</v>
      </c>
      <c r="CL38" s="92">
        <v>47.319417976905029</v>
      </c>
      <c r="CM38" s="184">
        <v>46.935763037835933</v>
      </c>
      <c r="CN38" s="184">
        <v>46.722176048501531</v>
      </c>
      <c r="CO38" s="184">
        <v>43.667187048872123</v>
      </c>
      <c r="CP38" s="184">
        <v>43.632716215021816</v>
      </c>
      <c r="CQ38" s="184">
        <v>44.024955771302821</v>
      </c>
      <c r="CR38" s="184">
        <v>41.893161192344962</v>
      </c>
      <c r="CS38" s="184">
        <v>41.405286536824718</v>
      </c>
      <c r="CT38" s="184">
        <v>42.482945041412805</v>
      </c>
      <c r="CU38" s="184">
        <v>43.210901004256712</v>
      </c>
      <c r="CV38" s="184">
        <v>40.31498185071154</v>
      </c>
      <c r="CW38" s="184">
        <v>40.771789808017999</v>
      </c>
      <c r="CX38" s="184">
        <v>40.935561381472624</v>
      </c>
      <c r="CY38" s="184">
        <v>40.323513435595203</v>
      </c>
      <c r="CZ38" s="184">
        <v>40.972726466055782</v>
      </c>
      <c r="DA38" s="184">
        <v>39.696583828761582</v>
      </c>
      <c r="DB38" s="184">
        <v>39.924315319711866</v>
      </c>
      <c r="DC38" s="184">
        <v>38.205432125790288</v>
      </c>
      <c r="DD38" s="184">
        <v>37.182614778660856</v>
      </c>
      <c r="DE38" s="184">
        <v>34.689477860136748</v>
      </c>
      <c r="DF38" s="184">
        <v>34.673885381470086</v>
      </c>
      <c r="DG38" s="184">
        <v>31.273533932944744</v>
      </c>
    </row>
    <row r="39" spans="1:112" s="40" customFormat="1" x14ac:dyDescent="0.3">
      <c r="A39" s="95" t="s">
        <v>16</v>
      </c>
      <c r="B39" s="92">
        <f t="shared" si="9"/>
        <v>64.067897706571614</v>
      </c>
      <c r="C39" s="96">
        <f t="shared" si="9"/>
        <v>64.165453744594288</v>
      </c>
      <c r="D39" s="92">
        <f t="shared" si="9"/>
        <v>62.127668036302317</v>
      </c>
      <c r="E39" s="92">
        <f t="shared" si="9"/>
        <v>61.799967411241319</v>
      </c>
      <c r="F39" s="92">
        <f t="shared" si="9"/>
        <v>62.897308637581894</v>
      </c>
      <c r="G39" s="92">
        <f t="shared" si="9"/>
        <v>62.677860247307002</v>
      </c>
      <c r="H39" s="92">
        <f t="shared" si="9"/>
        <v>64.287123381174865</v>
      </c>
      <c r="I39" s="92">
        <f t="shared" si="9"/>
        <v>63.198272353755854</v>
      </c>
      <c r="J39" s="92">
        <v>61.807221769461599</v>
      </c>
      <c r="K39" s="92">
        <v>61.511214382907099</v>
      </c>
      <c r="L39" s="92">
        <v>59.451733288507199</v>
      </c>
      <c r="M39" s="92">
        <v>55.2367415481691</v>
      </c>
      <c r="N39" s="37">
        <v>59.2051742747228</v>
      </c>
      <c r="O39" s="94">
        <v>58.269026594167997</v>
      </c>
      <c r="P39" s="37">
        <v>58.476177368706999</v>
      </c>
      <c r="Q39" s="94">
        <v>58.494019139611702</v>
      </c>
      <c r="R39" s="92">
        <v>58.798027393942597</v>
      </c>
      <c r="S39" s="92">
        <v>58.943556052095403</v>
      </c>
      <c r="T39" s="92">
        <v>57.740709943865198</v>
      </c>
      <c r="U39" s="92">
        <v>59.523898151666799</v>
      </c>
      <c r="V39" s="92">
        <v>58.466950937778201</v>
      </c>
      <c r="W39" s="92">
        <v>57.752283890459601</v>
      </c>
      <c r="X39" s="92">
        <v>55.385529708590099</v>
      </c>
      <c r="Y39" s="92">
        <v>55.989070850550398</v>
      </c>
      <c r="Z39" s="92">
        <v>56.791722288642397</v>
      </c>
      <c r="AA39" s="92">
        <v>59.045181798593497</v>
      </c>
      <c r="AB39" s="92">
        <v>59.098846510981197</v>
      </c>
      <c r="AC39" s="92">
        <v>58.0433890697688</v>
      </c>
      <c r="AD39" s="92">
        <v>57.709968443916303</v>
      </c>
      <c r="AE39" s="92">
        <v>56.849737376486203</v>
      </c>
      <c r="AF39" s="92">
        <v>55.968944430361702</v>
      </c>
      <c r="AG39" s="92">
        <v>55.644027016943902</v>
      </c>
      <c r="AH39" s="92">
        <v>54.193118655704097</v>
      </c>
      <c r="AI39" s="92">
        <v>54.616072720691903</v>
      </c>
      <c r="AJ39" s="92">
        <v>54.848282186185301</v>
      </c>
      <c r="AK39" s="92">
        <v>52.483626155275203</v>
      </c>
      <c r="AL39" s="92">
        <v>52.550494988459697</v>
      </c>
      <c r="AM39" s="92">
        <v>52.409365735977701</v>
      </c>
      <c r="AN39" s="92">
        <v>52.931640275669402</v>
      </c>
      <c r="AO39" s="92">
        <v>53.028705061028397</v>
      </c>
      <c r="AP39" s="92">
        <v>53.829303767106303</v>
      </c>
      <c r="AQ39" s="92">
        <v>54.900278396276903</v>
      </c>
      <c r="AR39" s="92">
        <v>52.8067155381814</v>
      </c>
      <c r="AS39" s="92">
        <v>53.341912022178697</v>
      </c>
      <c r="AT39" s="92">
        <v>49.477043501658102</v>
      </c>
      <c r="AU39" s="92">
        <v>49.391228155783502</v>
      </c>
      <c r="AV39" s="92">
        <v>48.807728182628601</v>
      </c>
      <c r="AW39" s="92">
        <v>48.372920662698398</v>
      </c>
      <c r="AX39" s="92">
        <v>47.121565147185201</v>
      </c>
      <c r="AY39" s="92">
        <v>46.796501325654397</v>
      </c>
      <c r="AZ39" s="92">
        <v>47.159233684312198</v>
      </c>
      <c r="BA39" s="92">
        <v>45.847905142792598</v>
      </c>
      <c r="BB39" s="92">
        <v>44.645362341258497</v>
      </c>
      <c r="BC39" s="92">
        <v>44.764584270220297</v>
      </c>
      <c r="BD39" s="92">
        <v>45.258237055271103</v>
      </c>
      <c r="BE39" s="92">
        <v>42.931549937372999</v>
      </c>
      <c r="BF39" s="92">
        <v>40.490611546675503</v>
      </c>
      <c r="BG39" s="92">
        <v>38.899226133308701</v>
      </c>
      <c r="BH39" s="92">
        <v>34.095812256766898</v>
      </c>
      <c r="BI39" s="92">
        <v>34.182218415057903</v>
      </c>
      <c r="BJ39" s="92">
        <v>33.1875200106712</v>
      </c>
      <c r="BK39" s="92">
        <v>0</v>
      </c>
      <c r="BL39" s="92">
        <v>11.6748305375238</v>
      </c>
      <c r="BM39" s="92">
        <v>12.6880687409187</v>
      </c>
      <c r="BN39" s="92">
        <v>12.8886704087735</v>
      </c>
      <c r="BO39" s="92">
        <v>16.1722009097853</v>
      </c>
      <c r="BP39" s="92">
        <v>17.700817758752201</v>
      </c>
      <c r="BQ39" s="92">
        <v>17.986454523811499</v>
      </c>
      <c r="BR39" s="92">
        <v>19.3534801804289</v>
      </c>
      <c r="BS39" s="92">
        <v>20.204182112040201</v>
      </c>
      <c r="BT39" s="92">
        <v>20.678963808650199</v>
      </c>
      <c r="BU39" s="92">
        <v>21.626384853100401</v>
      </c>
      <c r="BV39" s="92">
        <v>22.3221306327784</v>
      </c>
      <c r="BW39" s="92">
        <v>22.813098273483899</v>
      </c>
      <c r="BX39" s="92">
        <v>24.878370352132698</v>
      </c>
      <c r="BY39" s="92">
        <v>25.4693876454443</v>
      </c>
      <c r="BZ39" s="92">
        <v>26.0203608028499</v>
      </c>
      <c r="CA39" s="92">
        <v>26.028198848475899</v>
      </c>
      <c r="CB39" s="92">
        <v>19.503358445164601</v>
      </c>
      <c r="CC39" s="92">
        <v>16.9773043036245</v>
      </c>
      <c r="CD39" s="92">
        <v>16.9961015742503</v>
      </c>
      <c r="CE39" s="92">
        <v>16.5855214078553</v>
      </c>
      <c r="CF39" s="92">
        <v>16.911480913349799</v>
      </c>
      <c r="CG39" s="92">
        <v>17.881451301795799</v>
      </c>
      <c r="CH39" s="92">
        <v>18.197522681352901</v>
      </c>
      <c r="CI39" s="92">
        <v>18.0569515539853</v>
      </c>
      <c r="CJ39" s="92">
        <v>18.088075251732899</v>
      </c>
      <c r="CK39" s="92">
        <v>18.2656659155612</v>
      </c>
      <c r="CL39" s="92">
        <v>18.5383525904039</v>
      </c>
      <c r="CM39" s="184">
        <v>17.774849491821499</v>
      </c>
      <c r="CN39" s="184">
        <v>17.294071450307499</v>
      </c>
      <c r="CO39" s="184">
        <v>17.785886568547799</v>
      </c>
      <c r="CP39" s="184">
        <v>17.547619094003998</v>
      </c>
      <c r="CQ39" s="184">
        <v>16.9638606929107</v>
      </c>
      <c r="CR39" s="184">
        <v>15.250515163246201</v>
      </c>
      <c r="CS39" s="184">
        <v>14.3049732999766</v>
      </c>
      <c r="CT39" s="184">
        <v>15.8841074138584</v>
      </c>
      <c r="CU39" s="184">
        <v>16.7187499826994</v>
      </c>
      <c r="CV39" s="184">
        <v>17.4580603108863</v>
      </c>
      <c r="CW39" s="184">
        <v>16.488917253734201</v>
      </c>
      <c r="CX39" s="184">
        <v>17.317731997713501</v>
      </c>
      <c r="CY39" s="184">
        <v>18.240006237987199</v>
      </c>
      <c r="CZ39" s="184">
        <v>14.1328694154481</v>
      </c>
      <c r="DA39" s="184">
        <v>13.119524053296599</v>
      </c>
      <c r="DB39" s="184">
        <v>12.937878447095599</v>
      </c>
      <c r="DC39" s="184">
        <v>12.4056263599145</v>
      </c>
      <c r="DD39" s="184">
        <v>12.299708834075799</v>
      </c>
      <c r="DE39" s="184">
        <v>11.9899080999571</v>
      </c>
      <c r="DF39" s="184">
        <v>12.2453831984941</v>
      </c>
      <c r="DG39" s="184">
        <v>11.9971566750474</v>
      </c>
    </row>
    <row r="40" spans="1:112" s="40" customFormat="1" x14ac:dyDescent="0.3">
      <c r="A40" s="95" t="s">
        <v>17</v>
      </c>
      <c r="B40" s="92">
        <f t="shared" si="9"/>
        <v>30.013464887408563</v>
      </c>
      <c r="C40" s="96">
        <f t="shared" si="9"/>
        <v>29.511652522785987</v>
      </c>
      <c r="D40" s="92">
        <f t="shared" si="9"/>
        <v>29.954952645646031</v>
      </c>
      <c r="E40" s="92">
        <f t="shared" si="9"/>
        <v>29.829130421299084</v>
      </c>
      <c r="F40" s="92">
        <f t="shared" si="9"/>
        <v>29.244384184495363</v>
      </c>
      <c r="G40" s="92">
        <f t="shared" si="9"/>
        <v>29.666663420396272</v>
      </c>
      <c r="H40" s="92">
        <f t="shared" si="9"/>
        <v>31.831624641269897</v>
      </c>
      <c r="I40" s="92">
        <f t="shared" si="9"/>
        <v>30.438531605786501</v>
      </c>
      <c r="J40" s="92">
        <v>28.578271517373423</v>
      </c>
      <c r="K40" s="92">
        <v>27.394522285513698</v>
      </c>
      <c r="L40" s="37">
        <v>27.787221955106201</v>
      </c>
      <c r="M40" s="92">
        <v>27.585782837306098</v>
      </c>
      <c r="N40" s="94">
        <v>30.250213574462101</v>
      </c>
      <c r="O40" s="92">
        <v>29.353274120373701</v>
      </c>
      <c r="P40" s="94">
        <v>29.532861039233101</v>
      </c>
      <c r="Q40" s="92">
        <v>29.863321775516098</v>
      </c>
      <c r="R40" s="92">
        <v>30.841915207750102</v>
      </c>
      <c r="S40" s="92">
        <v>29.0285627523355</v>
      </c>
      <c r="T40" s="92">
        <v>30.295908644190501</v>
      </c>
      <c r="U40" s="92">
        <v>32.604359765775499</v>
      </c>
      <c r="V40" s="92">
        <v>32.400909378022597</v>
      </c>
      <c r="W40" s="92">
        <v>31.1796162239762</v>
      </c>
      <c r="X40" s="92">
        <v>31.714701086043899</v>
      </c>
      <c r="Y40" s="92">
        <v>28.983742203721299</v>
      </c>
      <c r="Z40" s="92">
        <v>29.411058975036099</v>
      </c>
      <c r="AA40" s="92">
        <v>30.204259188235898</v>
      </c>
      <c r="AB40" s="92">
        <v>27.3109713108771</v>
      </c>
      <c r="AC40" s="92">
        <v>26.852781280240698</v>
      </c>
      <c r="AD40" s="92">
        <v>27.5370789835968</v>
      </c>
      <c r="AE40" s="92">
        <v>27.307709268219899</v>
      </c>
      <c r="AF40" s="92">
        <v>25.611564372208601</v>
      </c>
      <c r="AG40" s="92">
        <v>25.148091136153599</v>
      </c>
      <c r="AH40" s="92">
        <v>25.4939941381691</v>
      </c>
      <c r="AI40" s="92">
        <v>26.0628446013428</v>
      </c>
      <c r="AJ40" s="92">
        <v>26.336336714027102</v>
      </c>
      <c r="AK40" s="92">
        <v>24.454779484854701</v>
      </c>
      <c r="AL40" s="92">
        <v>24.186260301831499</v>
      </c>
      <c r="AM40" s="92">
        <v>24.249219415636201</v>
      </c>
      <c r="AN40" s="92">
        <v>25.3906779935575</v>
      </c>
      <c r="AO40" s="92">
        <v>25.673677466441902</v>
      </c>
      <c r="AP40" s="92">
        <v>27.174555905618899</v>
      </c>
      <c r="AQ40" s="92">
        <v>26.316420334803599</v>
      </c>
      <c r="AR40" s="92">
        <v>25.185955592652299</v>
      </c>
      <c r="AS40" s="92">
        <v>24.866803657838702</v>
      </c>
      <c r="AT40" s="92">
        <v>23.4151528003549</v>
      </c>
      <c r="AU40" s="92">
        <v>23.204252984851401</v>
      </c>
      <c r="AV40" s="92">
        <v>22.642746858414</v>
      </c>
      <c r="AW40" s="92">
        <v>20.606103706455698</v>
      </c>
      <c r="AX40" s="92">
        <v>21.1937515233443</v>
      </c>
      <c r="AY40" s="92">
        <v>21.3843670070043</v>
      </c>
      <c r="AZ40" s="92">
        <v>21.363697488128299</v>
      </c>
      <c r="BA40" s="92">
        <v>21.434704562345299</v>
      </c>
      <c r="BB40" s="92">
        <v>21.0027377600486</v>
      </c>
      <c r="BC40" s="92">
        <v>20.609532339704501</v>
      </c>
      <c r="BD40" s="92">
        <v>19.556656296055401</v>
      </c>
      <c r="BE40" s="92">
        <v>19.092291081090899</v>
      </c>
      <c r="BF40" s="92">
        <v>17.8355760487113</v>
      </c>
      <c r="BG40" s="92">
        <v>17.187637283189801</v>
      </c>
      <c r="BH40" s="92">
        <v>16.817507355135799</v>
      </c>
      <c r="BI40" s="92">
        <v>16.150110496315399</v>
      </c>
      <c r="BJ40" s="92">
        <v>16.414755571847099</v>
      </c>
      <c r="BK40" s="92">
        <v>16.651361281119154</v>
      </c>
      <c r="BL40" s="92">
        <v>17.6655398133747</v>
      </c>
      <c r="BM40" s="92">
        <v>18.147770544947502</v>
      </c>
      <c r="BN40" s="92">
        <v>19.5480891439705</v>
      </c>
      <c r="BO40" s="92">
        <v>21.409598163234801</v>
      </c>
      <c r="BP40" s="92">
        <v>21.749996594997668</v>
      </c>
      <c r="BQ40" s="92">
        <v>21.209800656719999</v>
      </c>
      <c r="BR40" s="92">
        <v>23.1458481104894</v>
      </c>
      <c r="BS40" s="92">
        <v>22.582279137064099</v>
      </c>
      <c r="BT40" s="92">
        <v>23.1150021885143</v>
      </c>
      <c r="BU40" s="92">
        <v>21.923453275547701</v>
      </c>
      <c r="BV40" s="92">
        <v>20.8906837045527</v>
      </c>
      <c r="BW40" s="92">
        <v>20.884895360140799</v>
      </c>
      <c r="BX40" s="92">
        <v>17.785514779390201</v>
      </c>
      <c r="BY40" s="92">
        <v>17.8952325040494</v>
      </c>
      <c r="BZ40" s="92">
        <v>18.033335512752199</v>
      </c>
      <c r="CA40" s="92">
        <v>18.328028738355801</v>
      </c>
      <c r="CB40" s="92">
        <v>18.961711640129302</v>
      </c>
      <c r="CC40" s="92">
        <v>18.747903355231536</v>
      </c>
      <c r="CD40" s="92">
        <v>19.4110050042895</v>
      </c>
      <c r="CE40" s="92">
        <v>19.146948280621</v>
      </c>
      <c r="CF40" s="92">
        <v>19.341744926904699</v>
      </c>
      <c r="CG40" s="92">
        <v>15.8603013012247</v>
      </c>
      <c r="CH40" s="92">
        <v>16.3792152716617</v>
      </c>
      <c r="CI40" s="92">
        <v>17.0932071962797</v>
      </c>
      <c r="CJ40" s="92">
        <v>15.536207032246701</v>
      </c>
      <c r="CK40" s="92">
        <v>16.7044568225615</v>
      </c>
      <c r="CL40" s="92">
        <v>16.9969217924282</v>
      </c>
      <c r="CM40" s="184">
        <v>18.068269675680799</v>
      </c>
      <c r="CN40" s="184">
        <v>16.2452405901447</v>
      </c>
      <c r="CO40" s="184">
        <v>16.681619608708498</v>
      </c>
      <c r="CP40" s="184">
        <v>16.620865159547499</v>
      </c>
      <c r="CQ40" s="184">
        <v>17.485277492469301</v>
      </c>
      <c r="CR40" s="184">
        <v>17.010843499869399</v>
      </c>
      <c r="CS40" s="184">
        <v>15.7997230910675</v>
      </c>
      <c r="CT40" s="184">
        <v>14.439045818000301</v>
      </c>
      <c r="CU40" s="184">
        <v>12.9397856936508</v>
      </c>
      <c r="CV40" s="184">
        <v>11.704350373853</v>
      </c>
      <c r="CW40" s="184">
        <v>12.1454860066265</v>
      </c>
      <c r="CX40" s="184">
        <v>12.2450804682388</v>
      </c>
      <c r="CY40" s="184">
        <v>11.856849134439599</v>
      </c>
      <c r="CZ40" s="184">
        <v>11.8496431971279</v>
      </c>
      <c r="DA40" s="184">
        <v>11.549745867951501</v>
      </c>
      <c r="DB40" s="184">
        <v>11.361206022860101</v>
      </c>
      <c r="DC40" s="184">
        <v>10.965968337434299</v>
      </c>
      <c r="DD40" s="184">
        <v>10.466821551725801</v>
      </c>
      <c r="DE40" s="184">
        <v>9.6789924563224208</v>
      </c>
      <c r="DF40" s="184">
        <v>9.9686283722367097</v>
      </c>
      <c r="DG40" s="184">
        <v>9.5982799027045491</v>
      </c>
    </row>
    <row r="41" spans="1:112" s="40" customFormat="1" x14ac:dyDescent="0.3">
      <c r="A41" s="185" t="s">
        <v>18</v>
      </c>
      <c r="B41" s="44">
        <f t="shared" si="9"/>
        <v>56.383836697445467</v>
      </c>
      <c r="C41" s="44">
        <f t="shared" si="9"/>
        <v>56.59606425962118</v>
      </c>
      <c r="D41" s="44">
        <f t="shared" si="9"/>
        <v>56.43254995305125</v>
      </c>
      <c r="E41" s="44">
        <f t="shared" si="9"/>
        <v>96.196516533122718</v>
      </c>
      <c r="F41" s="44">
        <f t="shared" si="9"/>
        <v>56.942669282878477</v>
      </c>
      <c r="G41" s="44">
        <f t="shared" si="9"/>
        <v>85.929893997856936</v>
      </c>
      <c r="H41" s="44">
        <f t="shared" si="9"/>
        <v>97.167901110788364</v>
      </c>
      <c r="I41" s="44">
        <f t="shared" si="9"/>
        <v>97.597492767396758</v>
      </c>
      <c r="J41" s="44">
        <v>97.595714593103651</v>
      </c>
      <c r="K41" s="44">
        <v>97.579287886451098</v>
      </c>
      <c r="L41" s="34">
        <v>96.917272807815607</v>
      </c>
      <c r="M41" s="44">
        <v>71.306779400875499</v>
      </c>
      <c r="N41" s="34">
        <v>71.1601759870302</v>
      </c>
      <c r="O41" s="44">
        <v>69.979522607237499</v>
      </c>
      <c r="P41" s="44">
        <v>93.772123250611003</v>
      </c>
      <c r="Q41" s="44">
        <v>93.810522365691</v>
      </c>
      <c r="R41" s="44">
        <v>93.821506393336904</v>
      </c>
      <c r="S41" s="44">
        <v>99.999602956085994</v>
      </c>
      <c r="T41" s="44">
        <v>99.999599705060305</v>
      </c>
      <c r="U41" s="44">
        <v>99.999626477519797</v>
      </c>
      <c r="V41" s="44">
        <v>99.9996264807302</v>
      </c>
      <c r="W41" s="44">
        <v>99.999564838604002</v>
      </c>
      <c r="X41" s="44">
        <v>99.999925396434605</v>
      </c>
      <c r="Y41" s="44">
        <v>99.999612513992304</v>
      </c>
      <c r="Z41" s="44">
        <v>99.999626613692499</v>
      </c>
      <c r="AA41" s="44">
        <v>99.999598558904495</v>
      </c>
      <c r="AB41" s="44">
        <v>99.999598865438998</v>
      </c>
      <c r="AC41" s="44">
        <v>99.999572031070898</v>
      </c>
      <c r="AD41" s="44">
        <v>0</v>
      </c>
      <c r="AE41" s="44">
        <v>0</v>
      </c>
      <c r="AF41" s="44">
        <v>0</v>
      </c>
      <c r="AG41" s="44">
        <v>0</v>
      </c>
      <c r="AH41" s="44">
        <v>0</v>
      </c>
      <c r="AI41" s="44">
        <v>0</v>
      </c>
      <c r="AJ41" s="44">
        <v>0</v>
      </c>
      <c r="AK41" s="44">
        <v>0</v>
      </c>
      <c r="AL41" s="44">
        <v>0</v>
      </c>
      <c r="AM41" s="44">
        <v>0</v>
      </c>
      <c r="AN41" s="44">
        <v>0</v>
      </c>
      <c r="AO41" s="44">
        <v>0</v>
      </c>
      <c r="AP41" s="44">
        <v>0</v>
      </c>
      <c r="AQ41" s="44">
        <v>0</v>
      </c>
      <c r="AR41" s="44">
        <v>0</v>
      </c>
      <c r="AS41" s="44">
        <v>0</v>
      </c>
      <c r="AT41" s="44">
        <v>0</v>
      </c>
      <c r="AU41" s="44">
        <v>0</v>
      </c>
      <c r="AV41" s="44">
        <v>0</v>
      </c>
      <c r="AW41" s="44">
        <v>100</v>
      </c>
      <c r="AX41" s="44">
        <v>0</v>
      </c>
      <c r="AY41" s="44">
        <v>0</v>
      </c>
      <c r="AZ41" s="44">
        <v>0</v>
      </c>
      <c r="BA41" s="44">
        <v>0</v>
      </c>
      <c r="BB41" s="44">
        <v>0</v>
      </c>
      <c r="BC41" s="44">
        <v>0</v>
      </c>
      <c r="BD41" s="44">
        <v>0</v>
      </c>
      <c r="BE41" s="44">
        <v>100</v>
      </c>
      <c r="BF41" s="44">
        <v>0</v>
      </c>
      <c r="BG41" s="44">
        <v>0</v>
      </c>
      <c r="BH41" s="44">
        <v>0</v>
      </c>
      <c r="BI41" s="44">
        <v>0</v>
      </c>
      <c r="BJ41" s="44">
        <v>0</v>
      </c>
      <c r="BK41" s="44">
        <v>0</v>
      </c>
      <c r="BL41" s="44">
        <v>0</v>
      </c>
      <c r="BM41" s="44">
        <v>0</v>
      </c>
      <c r="BN41" s="44">
        <v>0</v>
      </c>
      <c r="BO41" s="44">
        <v>27.5356414877986</v>
      </c>
      <c r="BP41" s="44">
        <v>0</v>
      </c>
      <c r="BQ41" s="44">
        <v>6.4605606316728696</v>
      </c>
      <c r="BR41" s="44">
        <v>6.5305508739686502</v>
      </c>
      <c r="BS41" s="44">
        <v>0</v>
      </c>
      <c r="BT41" s="44">
        <v>0</v>
      </c>
      <c r="BU41" s="44">
        <v>0</v>
      </c>
      <c r="BV41" s="44">
        <v>0</v>
      </c>
      <c r="BW41" s="44">
        <v>0</v>
      </c>
      <c r="BX41" s="44">
        <v>0</v>
      </c>
      <c r="BY41" s="44">
        <v>0</v>
      </c>
      <c r="BZ41" s="44">
        <v>0</v>
      </c>
      <c r="CA41" s="44">
        <v>0</v>
      </c>
      <c r="CB41" s="44">
        <v>0</v>
      </c>
      <c r="CC41" s="44">
        <v>0</v>
      </c>
      <c r="CD41" s="44">
        <v>0</v>
      </c>
      <c r="CE41" s="44">
        <v>0</v>
      </c>
      <c r="CF41" s="44">
        <v>0</v>
      </c>
      <c r="CG41" s="44">
        <v>0</v>
      </c>
      <c r="CH41" s="44">
        <v>0</v>
      </c>
      <c r="CI41" s="44">
        <v>0</v>
      </c>
      <c r="CJ41" s="44">
        <v>0</v>
      </c>
      <c r="CK41" s="44">
        <v>0</v>
      </c>
      <c r="CL41" s="44">
        <v>0</v>
      </c>
      <c r="CM41" s="45">
        <v>0</v>
      </c>
      <c r="CN41" s="45">
        <v>0</v>
      </c>
      <c r="CO41" s="45">
        <v>0</v>
      </c>
      <c r="CP41" s="45">
        <v>0</v>
      </c>
      <c r="CQ41" s="45">
        <v>0</v>
      </c>
      <c r="CR41" s="45">
        <v>0</v>
      </c>
      <c r="CS41" s="45">
        <v>81.158957565040893</v>
      </c>
      <c r="CT41" s="45">
        <v>0</v>
      </c>
      <c r="CU41" s="45">
        <v>0</v>
      </c>
      <c r="CV41" s="45">
        <v>0</v>
      </c>
      <c r="CW41" s="45">
        <v>0</v>
      </c>
      <c r="CX41" s="45">
        <v>0</v>
      </c>
      <c r="CY41" s="45">
        <v>0</v>
      </c>
      <c r="CZ41" s="45">
        <v>0</v>
      </c>
      <c r="DA41" s="45">
        <v>0</v>
      </c>
      <c r="DB41" s="45">
        <v>0</v>
      </c>
      <c r="DC41" s="45">
        <v>0</v>
      </c>
      <c r="DD41" s="45">
        <v>57.8787226204972</v>
      </c>
      <c r="DE41" s="45">
        <v>0</v>
      </c>
      <c r="DF41" s="45">
        <v>0</v>
      </c>
      <c r="DG41" s="45">
        <v>0</v>
      </c>
    </row>
    <row r="42" spans="1:112" s="98" customFormat="1" x14ac:dyDescent="0.3">
      <c r="A42" s="63" t="s">
        <v>21</v>
      </c>
      <c r="B42" s="41">
        <v>97</v>
      </c>
      <c r="C42" s="41">
        <v>96</v>
      </c>
      <c r="D42" s="41">
        <v>95</v>
      </c>
      <c r="E42" s="41">
        <v>93</v>
      </c>
      <c r="F42" s="41">
        <v>94</v>
      </c>
      <c r="G42" s="41">
        <v>93</v>
      </c>
      <c r="H42" s="41">
        <v>93</v>
      </c>
      <c r="I42" s="41">
        <v>92</v>
      </c>
      <c r="J42" s="20">
        <v>91</v>
      </c>
      <c r="K42" s="20">
        <v>91</v>
      </c>
      <c r="L42" s="20">
        <v>90</v>
      </c>
      <c r="M42" s="160">
        <v>84</v>
      </c>
      <c r="N42" s="160">
        <v>84</v>
      </c>
      <c r="O42" s="160">
        <v>84</v>
      </c>
      <c r="P42" s="160">
        <v>84</v>
      </c>
      <c r="Q42" s="160">
        <v>84</v>
      </c>
      <c r="R42" s="160">
        <v>84</v>
      </c>
      <c r="S42" s="160">
        <v>83</v>
      </c>
      <c r="T42" s="160">
        <v>83</v>
      </c>
      <c r="U42" s="160">
        <v>82</v>
      </c>
      <c r="V42" s="160">
        <v>82</v>
      </c>
      <c r="W42" s="160">
        <v>80</v>
      </c>
      <c r="X42" s="160">
        <v>79</v>
      </c>
      <c r="Y42" s="160">
        <v>78</v>
      </c>
      <c r="Z42" s="160">
        <v>78</v>
      </c>
      <c r="AA42" s="160">
        <v>78</v>
      </c>
      <c r="AB42" s="160">
        <v>78</v>
      </c>
      <c r="AC42" s="160">
        <v>78</v>
      </c>
      <c r="AD42" s="160">
        <v>76</v>
      </c>
      <c r="AE42" s="160">
        <v>76</v>
      </c>
      <c r="AF42" s="160">
        <v>76</v>
      </c>
      <c r="AG42" s="160">
        <v>76</v>
      </c>
      <c r="AH42" s="160">
        <v>76</v>
      </c>
      <c r="AI42" s="160">
        <v>75</v>
      </c>
      <c r="AJ42" s="160">
        <v>75</v>
      </c>
      <c r="AK42" s="160">
        <v>75</v>
      </c>
      <c r="AL42" s="160">
        <v>75</v>
      </c>
      <c r="AM42" s="160">
        <v>75</v>
      </c>
      <c r="AN42" s="160">
        <v>75</v>
      </c>
      <c r="AO42" s="160">
        <v>75</v>
      </c>
      <c r="AP42" s="160">
        <v>75</v>
      </c>
      <c r="AQ42" s="160">
        <v>75</v>
      </c>
      <c r="AR42" s="160">
        <v>75</v>
      </c>
      <c r="AS42" s="160">
        <v>75</v>
      </c>
      <c r="AT42" s="160">
        <v>74</v>
      </c>
      <c r="AU42" s="160">
        <v>74</v>
      </c>
      <c r="AV42" s="160">
        <v>74</v>
      </c>
      <c r="AW42" s="160">
        <v>74</v>
      </c>
      <c r="AX42" s="160">
        <v>73</v>
      </c>
      <c r="AY42" s="160">
        <v>73</v>
      </c>
      <c r="AZ42" s="160">
        <v>73</v>
      </c>
      <c r="BA42" s="160">
        <v>73</v>
      </c>
      <c r="BB42" s="160">
        <v>73</v>
      </c>
      <c r="BC42" s="160">
        <v>73</v>
      </c>
      <c r="BD42" s="160">
        <v>72</v>
      </c>
      <c r="BE42" s="160">
        <v>72</v>
      </c>
      <c r="BF42" s="160">
        <v>71</v>
      </c>
      <c r="BG42" s="160">
        <v>71</v>
      </c>
      <c r="BH42" s="160">
        <v>71</v>
      </c>
      <c r="BI42" s="160">
        <v>71</v>
      </c>
      <c r="BJ42" s="160">
        <v>71</v>
      </c>
      <c r="BK42" s="160">
        <v>69</v>
      </c>
      <c r="BL42" s="160">
        <v>69</v>
      </c>
      <c r="BM42" s="160">
        <v>69</v>
      </c>
      <c r="BN42" s="160">
        <v>69</v>
      </c>
      <c r="BO42" s="160">
        <v>69</v>
      </c>
      <c r="BP42" s="160">
        <v>68</v>
      </c>
      <c r="BQ42" s="160">
        <v>68</v>
      </c>
      <c r="BR42" s="160">
        <v>68</v>
      </c>
      <c r="BS42" s="160">
        <v>67</v>
      </c>
      <c r="BT42" s="160">
        <v>67</v>
      </c>
      <c r="BU42" s="160">
        <v>67</v>
      </c>
      <c r="BV42" s="160">
        <v>67</v>
      </c>
      <c r="BW42" s="160">
        <v>65</v>
      </c>
      <c r="BX42" s="160">
        <v>65</v>
      </c>
      <c r="BY42" s="160">
        <v>65</v>
      </c>
      <c r="BZ42" s="160">
        <v>65</v>
      </c>
      <c r="CA42" s="160">
        <v>65</v>
      </c>
      <c r="CB42" s="160">
        <v>64</v>
      </c>
      <c r="CC42" s="160">
        <v>64</v>
      </c>
      <c r="CD42" s="160">
        <v>63</v>
      </c>
      <c r="CE42" s="160">
        <v>63</v>
      </c>
      <c r="CF42" s="160">
        <v>63</v>
      </c>
      <c r="CG42" s="160">
        <v>63</v>
      </c>
      <c r="CH42" s="160">
        <v>63</v>
      </c>
      <c r="CI42" s="160">
        <v>63</v>
      </c>
      <c r="CJ42" s="160">
        <v>63</v>
      </c>
      <c r="CK42" s="160">
        <v>63</v>
      </c>
      <c r="CL42" s="160">
        <v>63</v>
      </c>
      <c r="CM42" s="98">
        <v>62</v>
      </c>
      <c r="CN42" s="98">
        <v>62</v>
      </c>
      <c r="CO42" s="98">
        <v>62</v>
      </c>
      <c r="CP42" s="98">
        <v>62</v>
      </c>
      <c r="CQ42" s="98">
        <v>62</v>
      </c>
      <c r="CR42" s="98">
        <v>62</v>
      </c>
      <c r="CS42" s="98">
        <v>62</v>
      </c>
      <c r="CT42" s="98">
        <v>61</v>
      </c>
      <c r="CU42" s="98">
        <v>61</v>
      </c>
      <c r="CV42" s="98">
        <v>60</v>
      </c>
      <c r="CW42" s="98">
        <v>60</v>
      </c>
      <c r="CX42" s="98">
        <v>60</v>
      </c>
      <c r="CY42" s="98">
        <v>60</v>
      </c>
      <c r="CZ42" s="98">
        <v>60</v>
      </c>
      <c r="DA42" s="98">
        <v>60</v>
      </c>
      <c r="DB42" s="98">
        <v>60</v>
      </c>
      <c r="DC42" s="98">
        <v>60</v>
      </c>
      <c r="DD42" s="98">
        <v>60</v>
      </c>
      <c r="DE42" s="98">
        <v>60</v>
      </c>
      <c r="DF42" s="98">
        <v>60</v>
      </c>
      <c r="DG42" s="98">
        <v>60</v>
      </c>
    </row>
    <row r="43" spans="1:112" x14ac:dyDescent="0.3">
      <c r="A43" s="99" t="s">
        <v>22</v>
      </c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</row>
    <row r="44" spans="1:112" x14ac:dyDescent="0.3">
      <c r="A44" s="101" t="s">
        <v>23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1"/>
      <c r="BV44" s="161"/>
      <c r="BW44" s="161"/>
      <c r="BX44" s="161"/>
      <c r="BY44" s="161"/>
      <c r="BZ44" s="161"/>
      <c r="CA44" s="161"/>
      <c r="CB44" s="161"/>
      <c r="CC44" s="161"/>
      <c r="CD44" s="161"/>
      <c r="CE44" s="161"/>
      <c r="CF44" s="161"/>
      <c r="CG44" s="161"/>
      <c r="CH44" s="161"/>
      <c r="CI44" s="161"/>
      <c r="CJ44" s="161"/>
      <c r="CK44" s="161"/>
      <c r="CL44" s="161"/>
      <c r="CM44" s="161"/>
      <c r="CN44" s="161"/>
      <c r="CO44" s="161"/>
      <c r="CP44" s="161"/>
      <c r="CQ44" s="161"/>
      <c r="CR44" s="161"/>
      <c r="CS44" s="161"/>
      <c r="CT44" s="161"/>
      <c r="CU44" s="161"/>
      <c r="CV44" s="161"/>
      <c r="CW44" s="161"/>
      <c r="CX44" s="161"/>
      <c r="CY44" s="161"/>
      <c r="CZ44" s="161"/>
      <c r="DA44" s="161"/>
      <c r="DB44" s="161"/>
      <c r="DC44" s="161"/>
      <c r="DD44" s="161"/>
      <c r="DE44" s="161"/>
      <c r="DF44" s="161"/>
      <c r="DG44" s="161"/>
    </row>
    <row r="45" spans="1:112" s="30" customFormat="1" ht="28.8" x14ac:dyDescent="0.3">
      <c r="A45" s="104" t="s">
        <v>24</v>
      </c>
      <c r="B45" s="105">
        <v>4.6048000000000004E-4</v>
      </c>
      <c r="C45" s="105">
        <v>0</v>
      </c>
      <c r="D45" s="105">
        <v>0</v>
      </c>
      <c r="E45" s="105">
        <v>0</v>
      </c>
      <c r="F45" s="105">
        <v>0</v>
      </c>
      <c r="G45" s="105">
        <v>0</v>
      </c>
      <c r="H45" s="105">
        <v>0</v>
      </c>
      <c r="I45" s="105">
        <v>0</v>
      </c>
      <c r="J45" s="105">
        <v>0</v>
      </c>
      <c r="K45" s="105">
        <v>0</v>
      </c>
      <c r="L45" s="105">
        <v>0</v>
      </c>
      <c r="M45" s="106">
        <v>0</v>
      </c>
      <c r="N45" s="106">
        <v>0</v>
      </c>
      <c r="O45" s="106">
        <v>0</v>
      </c>
      <c r="P45" s="106">
        <v>0</v>
      </c>
      <c r="Q45" s="106">
        <v>0</v>
      </c>
      <c r="R45" s="106">
        <v>0</v>
      </c>
      <c r="S45" s="106">
        <v>0</v>
      </c>
      <c r="T45" s="106">
        <v>0</v>
      </c>
      <c r="U45" s="106">
        <v>0</v>
      </c>
      <c r="V45" s="106">
        <v>0</v>
      </c>
      <c r="W45" s="106">
        <v>0</v>
      </c>
      <c r="X45" s="106">
        <v>0</v>
      </c>
      <c r="Y45" s="106">
        <v>0</v>
      </c>
      <c r="Z45" s="106">
        <v>0</v>
      </c>
      <c r="AA45" s="106">
        <v>0</v>
      </c>
      <c r="AB45" s="106">
        <v>0</v>
      </c>
      <c r="AC45" s="106">
        <v>0</v>
      </c>
      <c r="AD45" s="106">
        <v>0</v>
      </c>
      <c r="AE45" s="106">
        <v>0</v>
      </c>
      <c r="AF45" s="106">
        <v>0</v>
      </c>
      <c r="AG45" s="106">
        <v>0</v>
      </c>
      <c r="AH45" s="106">
        <v>0</v>
      </c>
      <c r="AI45" s="106">
        <v>0</v>
      </c>
      <c r="AJ45" s="106">
        <v>0</v>
      </c>
      <c r="AK45" s="106">
        <v>0</v>
      </c>
      <c r="AL45" s="106">
        <v>0</v>
      </c>
      <c r="AM45" s="106">
        <v>0</v>
      </c>
      <c r="AN45" s="106">
        <v>0</v>
      </c>
      <c r="AO45" s="106">
        <v>0</v>
      </c>
      <c r="AP45" s="106">
        <v>0</v>
      </c>
      <c r="AQ45" s="106">
        <v>0</v>
      </c>
      <c r="AR45" s="106">
        <v>0</v>
      </c>
      <c r="AS45" s="106">
        <v>0</v>
      </c>
      <c r="AT45" s="106">
        <v>0</v>
      </c>
      <c r="AU45" s="106">
        <v>0</v>
      </c>
      <c r="AV45" s="106">
        <v>0</v>
      </c>
      <c r="AW45" s="106">
        <v>0</v>
      </c>
      <c r="AX45" s="106">
        <v>0</v>
      </c>
      <c r="AY45" s="106">
        <v>0</v>
      </c>
      <c r="AZ45" s="106">
        <v>0</v>
      </c>
      <c r="BA45" s="106">
        <v>0</v>
      </c>
      <c r="BB45" s="106">
        <v>0</v>
      </c>
      <c r="BC45" s="106">
        <v>0</v>
      </c>
      <c r="BD45" s="106">
        <v>0</v>
      </c>
      <c r="BE45" s="106">
        <v>0</v>
      </c>
      <c r="BF45" s="106">
        <v>0</v>
      </c>
      <c r="BG45" s="106">
        <v>0</v>
      </c>
      <c r="BH45" s="106">
        <v>0</v>
      </c>
      <c r="BI45" s="106">
        <v>0</v>
      </c>
      <c r="BJ45" s="106">
        <v>0</v>
      </c>
      <c r="BK45" s="106">
        <v>0</v>
      </c>
      <c r="BL45" s="106">
        <v>0</v>
      </c>
      <c r="BM45" s="106">
        <v>0</v>
      </c>
      <c r="BN45" s="106">
        <v>0</v>
      </c>
      <c r="BO45" s="106">
        <v>0</v>
      </c>
      <c r="BP45" s="106">
        <v>0</v>
      </c>
      <c r="BQ45" s="106">
        <v>0</v>
      </c>
      <c r="BR45" s="106">
        <v>0</v>
      </c>
      <c r="BS45" s="106">
        <v>0</v>
      </c>
      <c r="BT45" s="106">
        <v>0</v>
      </c>
      <c r="BU45" s="106">
        <v>0</v>
      </c>
      <c r="BV45" s="106">
        <v>0</v>
      </c>
      <c r="BW45" s="106">
        <v>0</v>
      </c>
      <c r="BX45" s="106">
        <v>0</v>
      </c>
      <c r="BY45" s="106">
        <v>0</v>
      </c>
      <c r="BZ45" s="106">
        <v>0</v>
      </c>
      <c r="CA45" s="106">
        <v>0</v>
      </c>
      <c r="CB45" s="106">
        <v>0</v>
      </c>
      <c r="CC45" s="106">
        <v>0</v>
      </c>
      <c r="CD45" s="106">
        <v>0</v>
      </c>
      <c r="CE45" s="106">
        <v>0</v>
      </c>
      <c r="CF45" s="106">
        <v>0</v>
      </c>
      <c r="CG45" s="106">
        <v>0</v>
      </c>
      <c r="CH45" s="106">
        <v>0</v>
      </c>
      <c r="CI45" s="106">
        <v>0</v>
      </c>
      <c r="CJ45" s="106">
        <v>0</v>
      </c>
      <c r="CK45" s="106">
        <v>0</v>
      </c>
      <c r="CL45" s="106">
        <v>0</v>
      </c>
      <c r="CM45" s="106">
        <v>0</v>
      </c>
      <c r="CN45" s="106">
        <v>0</v>
      </c>
      <c r="CO45" s="106">
        <v>0</v>
      </c>
      <c r="CP45" s="106">
        <v>0</v>
      </c>
      <c r="CQ45" s="106">
        <v>0</v>
      </c>
      <c r="CR45" s="106">
        <v>0</v>
      </c>
      <c r="CS45" s="106">
        <v>0</v>
      </c>
      <c r="CT45" s="106">
        <v>0</v>
      </c>
      <c r="CU45" s="106">
        <v>0</v>
      </c>
      <c r="CV45" s="106">
        <v>0</v>
      </c>
      <c r="CW45" s="106">
        <v>0</v>
      </c>
      <c r="CX45" s="106">
        <v>0</v>
      </c>
      <c r="CY45" s="106">
        <v>0</v>
      </c>
      <c r="CZ45" s="106">
        <v>0</v>
      </c>
      <c r="DA45" s="106">
        <v>0</v>
      </c>
      <c r="DB45" s="106">
        <v>0</v>
      </c>
      <c r="DC45" s="106">
        <v>0</v>
      </c>
      <c r="DD45" s="106">
        <v>0</v>
      </c>
      <c r="DE45" s="106">
        <v>0</v>
      </c>
      <c r="DF45" s="106">
        <v>0</v>
      </c>
      <c r="DG45" s="106">
        <v>0</v>
      </c>
    </row>
    <row r="46" spans="1:112" s="30" customFormat="1" ht="28.8" x14ac:dyDescent="0.3">
      <c r="A46" s="24" t="s">
        <v>25</v>
      </c>
      <c r="B46" s="46">
        <v>2870.8914572200042</v>
      </c>
      <c r="C46" s="46">
        <v>3697.5993539100014</v>
      </c>
      <c r="D46" s="46">
        <v>3416.4633364699989</v>
      </c>
      <c r="E46" s="46">
        <v>3545.2323489599985</v>
      </c>
      <c r="F46" s="46">
        <v>4084.0318043600041</v>
      </c>
      <c r="G46" s="46">
        <v>3832.0796624299983</v>
      </c>
      <c r="H46" s="46">
        <v>3494.9865576799984</v>
      </c>
      <c r="I46" s="186">
        <v>3882.6143060199997</v>
      </c>
      <c r="J46" s="46">
        <v>3211.9700150199997</v>
      </c>
      <c r="K46" s="46">
        <v>4116.2787123099997</v>
      </c>
      <c r="L46" s="46">
        <v>1824.26212833</v>
      </c>
      <c r="M46" s="43">
        <v>1976.36746836</v>
      </c>
      <c r="N46" s="42">
        <v>5740.4662993900001</v>
      </c>
      <c r="O46" s="42">
        <v>1826.9226440499999</v>
      </c>
      <c r="P46" s="42">
        <v>1834.7427621500001</v>
      </c>
      <c r="Q46" s="42">
        <v>1837.84046992</v>
      </c>
      <c r="R46" s="42">
        <v>1978.41744386</v>
      </c>
      <c r="S46" s="42">
        <v>2079.6369980999998</v>
      </c>
      <c r="T46" s="42">
        <v>1897.9080771900001</v>
      </c>
      <c r="U46" s="42">
        <v>1589.2015966900001</v>
      </c>
      <c r="V46" s="42">
        <v>1502.1337746500001</v>
      </c>
      <c r="W46" s="42">
        <v>2597.2472655699999</v>
      </c>
      <c r="X46" s="42">
        <v>2527.1252959600001</v>
      </c>
      <c r="Y46" s="42">
        <v>1817.03888502</v>
      </c>
      <c r="Z46" s="42">
        <v>1538.3393339300001</v>
      </c>
      <c r="AA46" s="42">
        <v>1408.40865932</v>
      </c>
      <c r="AB46" s="42">
        <v>1786.2554467299999</v>
      </c>
      <c r="AC46" s="42">
        <v>1494.8765158900001</v>
      </c>
      <c r="AD46" s="42">
        <v>2105.4286414100002</v>
      </c>
      <c r="AE46" s="42">
        <v>1556.8988431400001</v>
      </c>
      <c r="AF46" s="42">
        <v>1408.0926353100001</v>
      </c>
      <c r="AG46" s="42">
        <v>1427.7981630300001</v>
      </c>
      <c r="AH46" s="42">
        <v>1497.77605004</v>
      </c>
      <c r="AI46" s="42">
        <v>1400.40078683</v>
      </c>
      <c r="AJ46" s="42">
        <v>1123.4162123799999</v>
      </c>
      <c r="AK46" s="42">
        <v>1191.2273706399999</v>
      </c>
      <c r="AL46" s="42">
        <v>1097.9523168999999</v>
      </c>
      <c r="AM46" s="42">
        <v>1336.97071749</v>
      </c>
      <c r="AN46" s="42">
        <v>1358.3469947599999</v>
      </c>
      <c r="AO46" s="42">
        <v>2024.91283733</v>
      </c>
      <c r="AP46" s="42">
        <v>1404.21644616</v>
      </c>
      <c r="AQ46" s="42">
        <v>1711.1975890799999</v>
      </c>
      <c r="AR46" s="42">
        <v>2647.2198079099999</v>
      </c>
      <c r="AS46" s="42">
        <v>2395.37392808</v>
      </c>
      <c r="AT46" s="42">
        <v>1669.48781029</v>
      </c>
      <c r="AU46" s="42">
        <v>3402.2027871700002</v>
      </c>
      <c r="AV46" s="42">
        <v>1884.6917145</v>
      </c>
      <c r="AW46" s="42">
        <v>1167.9338926099999</v>
      </c>
      <c r="AX46" s="42">
        <v>3002.0902243999999</v>
      </c>
      <c r="AY46" s="42">
        <v>1608.6137824800001</v>
      </c>
      <c r="AZ46" s="42">
        <v>2815.96784196</v>
      </c>
      <c r="BA46" s="42">
        <v>4060.8581637699999</v>
      </c>
      <c r="BB46" s="42">
        <v>3046.3278377900001</v>
      </c>
      <c r="BC46" s="42">
        <v>1691.1528413000001</v>
      </c>
      <c r="BD46" s="42">
        <v>2316.6090009200002</v>
      </c>
      <c r="BE46" s="42">
        <v>2749.9455625099999</v>
      </c>
      <c r="BF46" s="42">
        <v>1166.80620516</v>
      </c>
      <c r="BG46" s="42">
        <v>1905.4701987399999</v>
      </c>
      <c r="BH46" s="42">
        <v>3996.5512681999999</v>
      </c>
      <c r="BI46" s="42">
        <v>1753.51199273</v>
      </c>
      <c r="BJ46" s="42">
        <v>4811.1456722200001</v>
      </c>
      <c r="BK46" s="42">
        <v>3969.4792635600011</v>
      </c>
      <c r="BL46" s="42">
        <v>1281.0266226799999</v>
      </c>
      <c r="BM46" s="42">
        <v>2021.7459359899999</v>
      </c>
      <c r="BN46" s="42">
        <v>3591.7684792199998</v>
      </c>
      <c r="BO46" s="42">
        <v>2828.7263037799999</v>
      </c>
      <c r="BP46" s="42">
        <v>3446.0430577299999</v>
      </c>
      <c r="BQ46" s="42">
        <v>7096.7477220600003</v>
      </c>
      <c r="BR46" s="42">
        <v>7714.1790685899996</v>
      </c>
      <c r="BS46" s="42">
        <v>3307.8868195300001</v>
      </c>
      <c r="BT46" s="42">
        <v>10268.651502840001</v>
      </c>
      <c r="BU46" s="42">
        <v>2635.0237923700001</v>
      </c>
      <c r="BV46" s="42">
        <v>4871.7045396699996</v>
      </c>
      <c r="BW46" s="42">
        <v>3710.9478320600001</v>
      </c>
      <c r="BX46" s="42">
        <v>4166.3924881200001</v>
      </c>
      <c r="BY46" s="42">
        <v>2284.4270337200001</v>
      </c>
      <c r="BZ46" s="42">
        <v>8731.4552559099993</v>
      </c>
      <c r="CA46" s="42">
        <v>4957.3697085399999</v>
      </c>
      <c r="CB46" s="42">
        <v>3343.0188158000001</v>
      </c>
      <c r="CC46" s="42">
        <v>4874.2455112500002</v>
      </c>
      <c r="CD46" s="42">
        <v>6680.7851757199996</v>
      </c>
      <c r="CE46" s="42">
        <v>4734.3308745900003</v>
      </c>
      <c r="CF46" s="42">
        <v>6953.2496514100003</v>
      </c>
      <c r="CG46" s="42">
        <v>3137.44771915</v>
      </c>
      <c r="CH46" s="42">
        <v>3628.8452770899999</v>
      </c>
      <c r="CI46" s="42">
        <v>5138.7886268900002</v>
      </c>
      <c r="CJ46" s="42">
        <v>4745.4835370399996</v>
      </c>
      <c r="CK46" s="42">
        <v>5229.4798676399996</v>
      </c>
      <c r="CL46" s="42">
        <v>8908.3664117600001</v>
      </c>
      <c r="CM46" s="42">
        <v>6694.9375310100004</v>
      </c>
      <c r="CN46" s="42">
        <v>8175.5369255799997</v>
      </c>
      <c r="CO46" s="42">
        <v>5484.1172058800003</v>
      </c>
      <c r="CP46" s="42">
        <v>7698.89215117</v>
      </c>
      <c r="CQ46" s="42">
        <v>6509.1666929399998</v>
      </c>
      <c r="CR46" s="42">
        <v>7336.4948107500004</v>
      </c>
      <c r="CS46" s="42">
        <v>3590.4571653899998</v>
      </c>
      <c r="CT46" s="42">
        <v>6430.6402322900003</v>
      </c>
      <c r="CU46" s="42">
        <v>6010.5868777699998</v>
      </c>
      <c r="CV46" s="42">
        <v>4992.01468716</v>
      </c>
      <c r="CW46" s="42">
        <v>11506.159864249999</v>
      </c>
      <c r="CX46" s="42">
        <v>6473.0753516499999</v>
      </c>
      <c r="CY46" s="42">
        <v>5402.1580482999998</v>
      </c>
      <c r="CZ46" s="42">
        <v>4348.3031996399995</v>
      </c>
      <c r="DA46" s="42">
        <v>7853.5515268999998</v>
      </c>
      <c r="DB46" s="42">
        <v>3180.5669632300001</v>
      </c>
      <c r="DC46" s="42">
        <v>8951.4412128399999</v>
      </c>
      <c r="DD46" s="42">
        <v>9385.10388126</v>
      </c>
      <c r="DE46" s="42">
        <v>2627.4840293299999</v>
      </c>
      <c r="DF46" s="42">
        <v>8378.3523728399996</v>
      </c>
      <c r="DG46" s="42">
        <v>6583.7793369000001</v>
      </c>
    </row>
    <row r="47" spans="1:112" s="30" customFormat="1" x14ac:dyDescent="0.3">
      <c r="A47" s="31" t="s">
        <v>26</v>
      </c>
      <c r="B47" s="25">
        <v>559.81107761999999</v>
      </c>
      <c r="C47" s="25">
        <v>852.30055063999976</v>
      </c>
      <c r="D47" s="25">
        <v>1099.3272504399993</v>
      </c>
      <c r="E47" s="25">
        <v>1041.7188336499996</v>
      </c>
      <c r="F47" s="25">
        <v>1138.4549301600005</v>
      </c>
      <c r="G47" s="25">
        <v>1068.5090538699997</v>
      </c>
      <c r="H47" s="25">
        <v>1027.2254624000002</v>
      </c>
      <c r="I47" s="187">
        <v>980.89836388999981</v>
      </c>
      <c r="J47" s="188">
        <v>1147.1819067700003</v>
      </c>
      <c r="K47" s="119">
        <v>1187.3484933499999</v>
      </c>
      <c r="L47" s="32">
        <v>1229.65947052</v>
      </c>
      <c r="M47" s="29">
        <v>1259.4480728799999</v>
      </c>
      <c r="N47" s="28">
        <v>1301.65834761</v>
      </c>
      <c r="O47" s="27">
        <v>1351.49629218</v>
      </c>
      <c r="P47" s="27">
        <v>1067.66402776</v>
      </c>
      <c r="Q47" s="27">
        <v>1038.6348330200001</v>
      </c>
      <c r="R47" s="27">
        <v>1036.5752311000001</v>
      </c>
      <c r="S47" s="27">
        <v>1036.39843271</v>
      </c>
      <c r="T47" s="27">
        <v>1085.8182074700001</v>
      </c>
      <c r="U47" s="27">
        <v>1115.77062473</v>
      </c>
      <c r="V47" s="27">
        <v>1124.55669339</v>
      </c>
      <c r="W47" s="27">
        <v>1120.7477982800001</v>
      </c>
      <c r="X47" s="27">
        <v>932.12121327</v>
      </c>
      <c r="Y47" s="27">
        <v>1112.39086073</v>
      </c>
      <c r="Z47" s="27">
        <v>955.99652784</v>
      </c>
      <c r="AA47" s="27">
        <v>949.60898525000005</v>
      </c>
      <c r="AB47" s="27">
        <v>916.61663346</v>
      </c>
      <c r="AC47" s="27">
        <v>937.55692034000003</v>
      </c>
      <c r="AD47" s="27">
        <v>932.99781858999995</v>
      </c>
      <c r="AE47" s="27">
        <v>931.15280994</v>
      </c>
      <c r="AF47" s="27">
        <v>870.06467991</v>
      </c>
      <c r="AG47" s="27">
        <v>838.98077620000004</v>
      </c>
      <c r="AH47" s="27">
        <v>858.34642034000001</v>
      </c>
      <c r="AI47" s="27">
        <v>802.39703885999995</v>
      </c>
      <c r="AJ47" s="27">
        <v>798.19841444999997</v>
      </c>
      <c r="AK47" s="27">
        <v>924.21378876000006</v>
      </c>
      <c r="AL47" s="27">
        <v>735.86647129000005</v>
      </c>
      <c r="AM47" s="27">
        <v>821.38591226999995</v>
      </c>
      <c r="AN47" s="27">
        <v>907.83979668999996</v>
      </c>
      <c r="AO47" s="27">
        <v>868.30955682000001</v>
      </c>
      <c r="AP47" s="27">
        <v>906.79672445999995</v>
      </c>
      <c r="AQ47" s="27">
        <v>829.36529953000002</v>
      </c>
      <c r="AR47" s="27">
        <v>915.99283595999998</v>
      </c>
      <c r="AS47" s="27">
        <v>829.88270597999997</v>
      </c>
      <c r="AT47" s="27">
        <v>867.57815574000006</v>
      </c>
      <c r="AU47" s="27">
        <v>701.39905768000006</v>
      </c>
      <c r="AV47" s="27">
        <v>945.50856671999998</v>
      </c>
      <c r="AW47" s="27">
        <v>885.96218847</v>
      </c>
      <c r="AX47" s="27">
        <v>882.89001249</v>
      </c>
      <c r="AY47" s="27">
        <v>846.01438014999997</v>
      </c>
      <c r="AZ47" s="27">
        <v>850.30149734999998</v>
      </c>
      <c r="BA47" s="27">
        <v>880.23725091999995</v>
      </c>
      <c r="BB47" s="27">
        <v>963.45553292</v>
      </c>
      <c r="BC47" s="27">
        <v>610.26203244999999</v>
      </c>
      <c r="BD47" s="27">
        <v>558.07903964000002</v>
      </c>
      <c r="BE47" s="27">
        <v>541.44390619000001</v>
      </c>
      <c r="BF47" s="27">
        <v>516.03310044</v>
      </c>
      <c r="BG47" s="27">
        <v>543.19201993000001</v>
      </c>
      <c r="BH47" s="27">
        <v>518.98871793000001</v>
      </c>
      <c r="BI47" s="27">
        <v>466.90916247000001</v>
      </c>
      <c r="BJ47" s="27">
        <v>547.30826304000004</v>
      </c>
      <c r="BK47" s="27">
        <v>567.86811725999974</v>
      </c>
      <c r="BL47" s="27">
        <v>536.05382029999998</v>
      </c>
      <c r="BM47" s="27">
        <v>620.92748205999999</v>
      </c>
      <c r="BN47" s="27">
        <v>471.32688581999997</v>
      </c>
      <c r="BO47" s="27">
        <v>488.67594432999999</v>
      </c>
      <c r="BP47" s="27">
        <v>572.59697663999998</v>
      </c>
      <c r="BQ47" s="27">
        <v>619.38324544</v>
      </c>
      <c r="BR47" s="27">
        <v>665.29866232999996</v>
      </c>
      <c r="BS47" s="27">
        <v>666.11848873999998</v>
      </c>
      <c r="BT47" s="27">
        <v>708.8236895</v>
      </c>
      <c r="BU47" s="27">
        <v>714.22380471999998</v>
      </c>
      <c r="BV47" s="27">
        <v>722.72872987999995</v>
      </c>
      <c r="BW47" s="27">
        <v>699.85178721</v>
      </c>
      <c r="BX47" s="27">
        <v>756.69271494999998</v>
      </c>
      <c r="BY47" s="27">
        <v>792.43124795000006</v>
      </c>
      <c r="BZ47" s="27">
        <v>771.15926150999996</v>
      </c>
      <c r="CA47" s="27">
        <v>736.15869108000004</v>
      </c>
      <c r="CB47" s="27">
        <v>761.53285872000004</v>
      </c>
      <c r="CC47" s="27">
        <v>730.35185230000002</v>
      </c>
      <c r="CD47" s="27">
        <v>750.79228842999999</v>
      </c>
      <c r="CE47" s="27">
        <v>746.77044889000001</v>
      </c>
      <c r="CF47" s="27">
        <v>768.31587776000003</v>
      </c>
      <c r="CG47" s="27">
        <v>844.98596791</v>
      </c>
      <c r="CH47" s="27">
        <v>834.12056682000002</v>
      </c>
      <c r="CI47" s="27">
        <v>818.14162051999995</v>
      </c>
      <c r="CJ47" s="27">
        <v>827.94939680000005</v>
      </c>
      <c r="CK47" s="27">
        <v>843.71078164000005</v>
      </c>
      <c r="CL47" s="27">
        <v>847.38635375000001</v>
      </c>
      <c r="CM47" s="27">
        <v>880.45637217000001</v>
      </c>
      <c r="CN47" s="27">
        <v>989.02813675000004</v>
      </c>
      <c r="CO47" s="27">
        <v>906.69681186000003</v>
      </c>
      <c r="CP47" s="27">
        <v>880.90590341999996</v>
      </c>
      <c r="CQ47" s="27">
        <v>887.94162542000004</v>
      </c>
      <c r="CR47" s="27">
        <v>885.72104733000003</v>
      </c>
      <c r="CS47" s="27">
        <v>875.75922882999998</v>
      </c>
      <c r="CT47" s="27">
        <v>912.87656655000001</v>
      </c>
      <c r="CU47" s="27">
        <v>1003.27052844</v>
      </c>
      <c r="CV47" s="27">
        <v>898.21822818999999</v>
      </c>
      <c r="CW47" s="27">
        <v>916.50759846999995</v>
      </c>
      <c r="CX47" s="27">
        <v>889.34901021999997</v>
      </c>
      <c r="CY47" s="27">
        <v>823.22909784000001</v>
      </c>
      <c r="CZ47" s="27">
        <v>681.30972222000003</v>
      </c>
      <c r="DA47" s="27">
        <v>676.16985947000001</v>
      </c>
      <c r="DB47" s="27">
        <v>634.53438067000002</v>
      </c>
      <c r="DC47" s="27">
        <v>813.70074052999996</v>
      </c>
      <c r="DD47" s="27">
        <v>810.29352382000002</v>
      </c>
      <c r="DE47" s="27">
        <v>931.60077903000001</v>
      </c>
      <c r="DF47" s="27">
        <v>936.28404878000003</v>
      </c>
      <c r="DG47" s="27">
        <v>768.06510160000005</v>
      </c>
    </row>
    <row r="48" spans="1:112" s="40" customFormat="1" x14ac:dyDescent="0.3">
      <c r="A48" s="33" t="s">
        <v>27</v>
      </c>
      <c r="B48" s="34">
        <f t="shared" ref="B48:I48" si="10">IFERROR(100*(B47/B46),0)</f>
        <v>19.499555659345159</v>
      </c>
      <c r="C48" s="34">
        <f t="shared" si="10"/>
        <v>23.050105462040939</v>
      </c>
      <c r="D48" s="34">
        <f t="shared" si="10"/>
        <v>32.177346635186197</v>
      </c>
      <c r="E48" s="34">
        <f t="shared" si="10"/>
        <v>29.383654754126059</v>
      </c>
      <c r="F48" s="34">
        <f t="shared" si="10"/>
        <v>27.875760637921971</v>
      </c>
      <c r="G48" s="34">
        <f t="shared" si="10"/>
        <v>27.883268303259563</v>
      </c>
      <c r="H48" s="34">
        <f t="shared" si="10"/>
        <v>29.391399521773298</v>
      </c>
      <c r="I48" s="36">
        <f t="shared" si="10"/>
        <v>25.263863123594721</v>
      </c>
      <c r="J48" s="34">
        <v>35.7158348740954</v>
      </c>
      <c r="K48" s="34">
        <v>28.845191891383799</v>
      </c>
      <c r="L48" s="37">
        <v>67.405854203950298</v>
      </c>
      <c r="M48" s="39">
        <v>63.725399908808299</v>
      </c>
      <c r="N48" s="47">
        <v>22.6751326411988</v>
      </c>
      <c r="O48" s="39">
        <v>73.976656679012194</v>
      </c>
      <c r="P48" s="39">
        <v>58.1914832850401</v>
      </c>
      <c r="Q48" s="39">
        <v>56.513873212576001</v>
      </c>
      <c r="R48" s="39">
        <v>52.394161521219999</v>
      </c>
      <c r="S48" s="39">
        <v>49.835545032949298</v>
      </c>
      <c r="T48" s="39">
        <v>57.2113170558628</v>
      </c>
      <c r="U48" s="39">
        <v>70.209508161452604</v>
      </c>
      <c r="V48" s="39">
        <v>74.863951025402102</v>
      </c>
      <c r="W48" s="39">
        <v>43.151370804659898</v>
      </c>
      <c r="X48" s="39">
        <v>36.884645757776198</v>
      </c>
      <c r="Y48" s="39">
        <v>61.2199810307172</v>
      </c>
      <c r="Z48" s="39">
        <v>62.144710647013902</v>
      </c>
      <c r="AA48" s="39">
        <v>67.424250693579594</v>
      </c>
      <c r="AB48" s="39">
        <v>51.314980460269503</v>
      </c>
      <c r="AC48" s="39">
        <v>62.718017867971497</v>
      </c>
      <c r="AD48" s="39">
        <v>44.313913102520203</v>
      </c>
      <c r="AE48" s="39">
        <v>59.808176622575097</v>
      </c>
      <c r="AF48" s="39">
        <v>61.790301155751003</v>
      </c>
      <c r="AG48" s="39">
        <v>58.760460541534698</v>
      </c>
      <c r="AH48" s="39">
        <v>57.308061530098399</v>
      </c>
      <c r="AI48" s="39">
        <v>57.297671238555701</v>
      </c>
      <c r="AJ48" s="39">
        <v>71.050996563329505</v>
      </c>
      <c r="AK48" s="39">
        <v>77.585002791151098</v>
      </c>
      <c r="AL48" s="39">
        <v>67.021714874437606</v>
      </c>
      <c r="AM48" s="39">
        <v>61.436342735467797</v>
      </c>
      <c r="AN48" s="39">
        <v>66.8341594741336</v>
      </c>
      <c r="AO48" s="39">
        <v>42.881330041096099</v>
      </c>
      <c r="AP48" s="39">
        <v>64.576705887453898</v>
      </c>
      <c r="AQ48" s="39">
        <v>48.466951147114202</v>
      </c>
      <c r="AR48" s="39">
        <v>34.602069432352202</v>
      </c>
      <c r="AS48" s="39">
        <v>34.645225793418703</v>
      </c>
      <c r="AT48" s="39">
        <v>51.966725985815799</v>
      </c>
      <c r="AU48" s="39">
        <v>20.616027366888201</v>
      </c>
      <c r="AV48" s="39">
        <v>50.167810440597101</v>
      </c>
      <c r="AW48" s="39">
        <v>75.857220522141603</v>
      </c>
      <c r="AX48" s="39">
        <v>29.4091764902387</v>
      </c>
      <c r="AY48" s="39">
        <v>52.592759639650701</v>
      </c>
      <c r="AZ48" s="39">
        <v>30.195710500662699</v>
      </c>
      <c r="BA48" s="39">
        <v>21.676138772175399</v>
      </c>
      <c r="BB48" s="39">
        <v>31.626784253757499</v>
      </c>
      <c r="BC48" s="39">
        <v>36.085563501220101</v>
      </c>
      <c r="BD48" s="39">
        <v>24.090342367588502</v>
      </c>
      <c r="BE48" s="39">
        <v>19.689259073761399</v>
      </c>
      <c r="BF48" s="39">
        <v>44.226118969708303</v>
      </c>
      <c r="BG48" s="39">
        <v>28.506980601910598</v>
      </c>
      <c r="BH48" s="39">
        <v>12.9859141820479</v>
      </c>
      <c r="BI48" s="39">
        <v>26.627086920750401</v>
      </c>
      <c r="BJ48" s="39">
        <v>11.3758406069517</v>
      </c>
      <c r="BK48" s="39">
        <v>14.305859271594002</v>
      </c>
      <c r="BL48" s="39">
        <v>41.845642456558501</v>
      </c>
      <c r="BM48" s="39">
        <v>30.712438739536601</v>
      </c>
      <c r="BN48" s="39">
        <v>13.122418344802499</v>
      </c>
      <c r="BO48" s="39">
        <v>17.275476375250101</v>
      </c>
      <c r="BP48" s="39">
        <v>16.616071449124199</v>
      </c>
      <c r="BQ48" s="39">
        <v>8.7277055589092996</v>
      </c>
      <c r="BR48" s="39">
        <v>8.62436114607336</v>
      </c>
      <c r="BS48" s="39">
        <v>20.137281747585501</v>
      </c>
      <c r="BT48" s="39">
        <v>6.9027923413698602</v>
      </c>
      <c r="BU48" s="39">
        <v>27.105022990233099</v>
      </c>
      <c r="BV48" s="39">
        <v>14.835233212418</v>
      </c>
      <c r="BW48" s="39">
        <v>18.8591114421973</v>
      </c>
      <c r="BX48" s="39">
        <v>18.161820258355998</v>
      </c>
      <c r="BY48" s="39">
        <v>34.688402660845398</v>
      </c>
      <c r="BZ48" s="39">
        <v>8.8319671682224001</v>
      </c>
      <c r="CA48" s="39">
        <v>14.849783945139899</v>
      </c>
      <c r="CB48" s="39">
        <v>22.779795767848899</v>
      </c>
      <c r="CC48" s="39">
        <v>14.9838954688333</v>
      </c>
      <c r="CD48" s="39">
        <v>11.2380845766244</v>
      </c>
      <c r="CE48" s="39">
        <v>15.7735162300981</v>
      </c>
      <c r="CF48" s="39">
        <v>11.0497381264629</v>
      </c>
      <c r="CG48" s="39">
        <v>26.932272456763801</v>
      </c>
      <c r="CH48" s="39">
        <v>22.985839933326901</v>
      </c>
      <c r="CI48" s="39">
        <v>15.9209043205021</v>
      </c>
      <c r="CJ48" s="39">
        <v>17.4471029208635</v>
      </c>
      <c r="CK48" s="39">
        <v>16.133741844210501</v>
      </c>
      <c r="CL48" s="39">
        <v>9.5122530280227195</v>
      </c>
      <c r="CM48" s="39">
        <v>13.151076736591699</v>
      </c>
      <c r="CN48" s="39">
        <v>12.0974089622846</v>
      </c>
      <c r="CO48" s="39">
        <v>16.533140664606002</v>
      </c>
      <c r="CP48" s="39">
        <v>11.441982640140401</v>
      </c>
      <c r="CQ48" s="39">
        <v>13.6414024606726</v>
      </c>
      <c r="CR48" s="39">
        <v>12.0728095661183</v>
      </c>
      <c r="CS48" s="39">
        <v>24.391301399493901</v>
      </c>
      <c r="CT48" s="39">
        <v>14.1957337617209</v>
      </c>
      <c r="CU48" s="39">
        <v>16.691723268331302</v>
      </c>
      <c r="CV48" s="39">
        <v>17.993100671364498</v>
      </c>
      <c r="CW48" s="39">
        <v>7.9653647201410598</v>
      </c>
      <c r="CX48" s="39">
        <v>13.739203730932999</v>
      </c>
      <c r="CY48" s="39">
        <v>15.238893243766899</v>
      </c>
      <c r="CZ48" s="39">
        <v>15.6684042243514</v>
      </c>
      <c r="DA48" s="39">
        <v>8.6097335346178294</v>
      </c>
      <c r="DB48" s="39">
        <v>19.950354386678399</v>
      </c>
      <c r="DC48" s="39">
        <v>9.0901646023527807</v>
      </c>
      <c r="DD48" s="39">
        <v>8.6338258379641299</v>
      </c>
      <c r="DE48" s="39">
        <v>35.456001582911803</v>
      </c>
      <c r="DF48" s="39">
        <v>11.175037848911</v>
      </c>
      <c r="DG48" s="39">
        <v>11.6660213275259</v>
      </c>
    </row>
    <row r="49" spans="1:112" s="30" customFormat="1" x14ac:dyDescent="0.3">
      <c r="A49" s="114" t="s">
        <v>28</v>
      </c>
      <c r="B49" s="105"/>
      <c r="C49" s="105"/>
      <c r="D49" s="105"/>
      <c r="E49" s="105"/>
      <c r="F49" s="105"/>
      <c r="G49" s="105"/>
      <c r="H49" s="105"/>
      <c r="I49" s="189"/>
      <c r="J49" s="105"/>
      <c r="K49" s="105"/>
      <c r="L49" s="105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106"/>
      <c r="CU49" s="106"/>
      <c r="CV49" s="106"/>
      <c r="CW49" s="106"/>
      <c r="CX49" s="106"/>
      <c r="CY49" s="106"/>
      <c r="CZ49" s="106"/>
      <c r="DA49" s="106"/>
      <c r="DB49" s="106"/>
      <c r="DC49" s="106"/>
      <c r="DD49" s="106"/>
      <c r="DE49" s="106"/>
      <c r="DF49" s="106"/>
      <c r="DG49" s="106"/>
    </row>
    <row r="50" spans="1:112" s="30" customFormat="1" x14ac:dyDescent="0.3">
      <c r="A50" s="48" t="s">
        <v>28</v>
      </c>
      <c r="B50" s="190">
        <v>22773.127585420003</v>
      </c>
      <c r="C50" s="26">
        <v>94553.438233630004</v>
      </c>
      <c r="D50" s="26">
        <v>95816.232762579995</v>
      </c>
      <c r="E50" s="26">
        <v>94702.060405110009</v>
      </c>
      <c r="F50" s="26">
        <v>91262.196342929994</v>
      </c>
      <c r="G50" s="26">
        <v>88159.247842009965</v>
      </c>
      <c r="H50" s="26">
        <v>81521.470193209971</v>
      </c>
      <c r="I50" s="191">
        <v>88925.274455359991</v>
      </c>
      <c r="J50" s="26">
        <v>91875.365970119994</v>
      </c>
      <c r="K50" s="26">
        <v>97830.872843599995</v>
      </c>
      <c r="L50" s="26">
        <v>109180.56317764999</v>
      </c>
      <c r="M50" s="192">
        <v>119515.19141339</v>
      </c>
      <c r="N50" s="193">
        <v>107277.20939833</v>
      </c>
      <c r="O50" s="42">
        <v>106695.11414496</v>
      </c>
      <c r="P50" s="42">
        <v>109474.95017657</v>
      </c>
      <c r="Q50" s="42">
        <v>109670.84420589</v>
      </c>
      <c r="R50" s="42">
        <v>114642.64121715</v>
      </c>
      <c r="S50" s="42">
        <v>114975.11711375001</v>
      </c>
      <c r="T50" s="42">
        <v>116179.32758719999</v>
      </c>
      <c r="U50" s="42">
        <v>125043.49757263</v>
      </c>
      <c r="V50" s="42">
        <v>123537.81015159001</v>
      </c>
      <c r="W50" s="42">
        <v>120938.47447976</v>
      </c>
      <c r="X50" s="42">
        <v>121290.36779768</v>
      </c>
      <c r="Y50" s="42">
        <v>130062.95212355</v>
      </c>
      <c r="Z50" s="42">
        <v>125520.59127973999</v>
      </c>
      <c r="AA50" s="42">
        <v>110495.11426634</v>
      </c>
      <c r="AB50" s="42">
        <v>112231.98879678</v>
      </c>
      <c r="AC50" s="42">
        <v>103699.78406078</v>
      </c>
      <c r="AD50" s="42">
        <v>107862.01132059</v>
      </c>
      <c r="AE50" s="42">
        <v>97719.450822130006</v>
      </c>
      <c r="AF50" s="42">
        <v>100830.31080325</v>
      </c>
      <c r="AG50" s="42">
        <v>106655.03659577999</v>
      </c>
      <c r="AH50" s="42">
        <v>112120.12461470001</v>
      </c>
      <c r="AI50" s="42">
        <v>111123.28129653999</v>
      </c>
      <c r="AJ50" s="42">
        <v>101285.87463033</v>
      </c>
      <c r="AK50" s="42">
        <v>104955.45633460001</v>
      </c>
      <c r="AL50" s="42">
        <v>97495.289892000001</v>
      </c>
      <c r="AM50" s="42">
        <v>90401.426344520005</v>
      </c>
      <c r="AN50" s="42">
        <v>109605.69214052</v>
      </c>
      <c r="AO50" s="42">
        <v>105097.83686056999</v>
      </c>
      <c r="AP50" s="42">
        <v>105742.50447975</v>
      </c>
      <c r="AQ50" s="42">
        <v>113008.15239931</v>
      </c>
      <c r="AR50" s="42">
        <v>116074.54241347</v>
      </c>
      <c r="AS50" s="42">
        <v>107414.70001387</v>
      </c>
      <c r="AT50" s="42">
        <v>112938.48937271</v>
      </c>
      <c r="AU50" s="42">
        <v>112775.57876244</v>
      </c>
      <c r="AV50" s="42">
        <v>115837.21446582</v>
      </c>
      <c r="AW50" s="42">
        <v>125386.31941693</v>
      </c>
      <c r="AX50" s="42">
        <v>117905.33851404001</v>
      </c>
      <c r="AY50" s="42">
        <v>116908.16830917</v>
      </c>
      <c r="AZ50" s="42">
        <v>122612.16669899</v>
      </c>
      <c r="BA50" s="42">
        <v>116336.59339343999</v>
      </c>
      <c r="BB50" s="42">
        <v>108783.90641462</v>
      </c>
      <c r="BC50" s="42">
        <v>104721.73142801</v>
      </c>
      <c r="BD50" s="42">
        <v>96155.444354730003</v>
      </c>
      <c r="BE50" s="42">
        <v>94782.615191019999</v>
      </c>
      <c r="BF50" s="42">
        <v>95762.53786348</v>
      </c>
      <c r="BG50" s="42">
        <v>90698.486762379995</v>
      </c>
      <c r="BH50" s="42">
        <v>88531.74556666</v>
      </c>
      <c r="BI50" s="42">
        <v>94851.305560959998</v>
      </c>
      <c r="BJ50" s="42">
        <v>99506.254481399999</v>
      </c>
      <c r="BK50" s="42">
        <v>82352.689920190052</v>
      </c>
      <c r="BL50" s="42">
        <v>80946.268465159999</v>
      </c>
      <c r="BM50" s="42">
        <v>82006.021663740001</v>
      </c>
      <c r="BN50" s="42">
        <v>88459.317650319994</v>
      </c>
      <c r="BO50" s="42">
        <v>81973.74037467</v>
      </c>
      <c r="BP50" s="42">
        <v>100123.67004545</v>
      </c>
      <c r="BQ50" s="42">
        <v>100489.7428125</v>
      </c>
      <c r="BR50" s="42">
        <v>105286.24477645</v>
      </c>
      <c r="BS50" s="42">
        <v>103592.70079634999</v>
      </c>
      <c r="BT50" s="42">
        <v>108951.02158693</v>
      </c>
      <c r="BU50" s="42">
        <v>112414.27476167001</v>
      </c>
      <c r="BV50" s="42">
        <v>117792.09200688</v>
      </c>
      <c r="BW50" s="42">
        <v>118527.50801105</v>
      </c>
      <c r="BX50" s="42">
        <v>127250.1283231</v>
      </c>
      <c r="BY50" s="42">
        <v>132313.23188447001</v>
      </c>
      <c r="BZ50" s="42">
        <v>140440.51431879</v>
      </c>
      <c r="CA50" s="42">
        <v>144292.77810313</v>
      </c>
      <c r="CB50" s="42">
        <v>146506.58643852</v>
      </c>
      <c r="CC50" s="42">
        <v>147091.22730892</v>
      </c>
      <c r="CD50" s="42">
        <v>155380.30194087999</v>
      </c>
      <c r="CE50" s="42">
        <v>161369.9663346</v>
      </c>
      <c r="CF50" s="42">
        <v>171088.37207631001</v>
      </c>
      <c r="CG50" s="42">
        <v>196260.49496601999</v>
      </c>
      <c r="CH50" s="42">
        <v>184054.70988020999</v>
      </c>
      <c r="CI50" s="42">
        <v>184528.97049628</v>
      </c>
      <c r="CJ50" s="42">
        <v>186352.32691805001</v>
      </c>
      <c r="CK50" s="42">
        <v>187193.66375288999</v>
      </c>
      <c r="CL50" s="42">
        <v>185791.25872441</v>
      </c>
      <c r="CM50" s="42">
        <v>192431.78314945</v>
      </c>
      <c r="CN50" s="42">
        <v>201228.33981388001</v>
      </c>
      <c r="CO50" s="42">
        <v>203396.69901056</v>
      </c>
      <c r="CP50" s="42">
        <v>224678.50888070001</v>
      </c>
      <c r="CQ50" s="42">
        <v>231007.54370672</v>
      </c>
      <c r="CR50" s="42">
        <v>224987.30114383</v>
      </c>
      <c r="CS50" s="42">
        <v>226934.17743243999</v>
      </c>
      <c r="CT50" s="42">
        <v>212337.37385887001</v>
      </c>
      <c r="CU50" s="42">
        <v>208669.40379891999</v>
      </c>
      <c r="CV50" s="42">
        <v>215969.91340063</v>
      </c>
      <c r="CW50" s="42">
        <v>218464.7747823</v>
      </c>
      <c r="CX50" s="42">
        <v>215999.57291212</v>
      </c>
      <c r="CY50" s="42">
        <v>223174.53810512999</v>
      </c>
      <c r="CZ50" s="42">
        <v>228038.71750704001</v>
      </c>
      <c r="DA50" s="42">
        <v>227818.93451428</v>
      </c>
      <c r="DB50" s="42">
        <v>225737.76987682001</v>
      </c>
      <c r="DC50" s="42">
        <v>235239.42925806</v>
      </c>
      <c r="DD50" s="42">
        <v>244619.42068767</v>
      </c>
      <c r="DE50" s="42">
        <v>265031.28352259001</v>
      </c>
      <c r="DF50" s="42">
        <v>266933.44046329998</v>
      </c>
      <c r="DG50" s="42">
        <v>275431.11672262999</v>
      </c>
    </row>
    <row r="51" spans="1:112" s="30" customFormat="1" x14ac:dyDescent="0.3">
      <c r="A51" s="31" t="s">
        <v>26</v>
      </c>
      <c r="B51" s="25">
        <v>4.0090339999999995E-2</v>
      </c>
      <c r="C51" s="25">
        <v>4.538822E-2</v>
      </c>
      <c r="D51" s="25">
        <v>4.5309530000000008E-2</v>
      </c>
      <c r="E51" s="25">
        <v>3.925128E-2</v>
      </c>
      <c r="F51" s="25">
        <v>0</v>
      </c>
      <c r="G51" s="25">
        <v>0</v>
      </c>
      <c r="H51" s="25">
        <v>0</v>
      </c>
      <c r="I51" s="187">
        <v>0</v>
      </c>
      <c r="J51" s="26">
        <v>0</v>
      </c>
      <c r="K51" s="26">
        <v>0</v>
      </c>
      <c r="L51" s="26">
        <v>0</v>
      </c>
      <c r="M51" s="29">
        <v>0.74486171000000001</v>
      </c>
      <c r="N51" s="29">
        <v>1.3720000000000001E-5</v>
      </c>
      <c r="O51" s="28">
        <v>1.3200000000000001E-5</v>
      </c>
      <c r="P51" s="28">
        <v>1.3010000000000001E-5</v>
      </c>
      <c r="Q51" s="28">
        <v>1.2850000000000001E-5</v>
      </c>
      <c r="R51" s="28">
        <v>1.2809999999999999E-5</v>
      </c>
      <c r="S51" s="28">
        <v>1.2830000000000001E-5</v>
      </c>
      <c r="T51" s="28">
        <v>0.18772823</v>
      </c>
      <c r="U51" s="28">
        <v>92.001133539999998</v>
      </c>
      <c r="V51" s="28">
        <v>109.87068376000001</v>
      </c>
      <c r="W51" s="28">
        <v>99.157405080000004</v>
      </c>
      <c r="X51" s="28">
        <v>150.75330338000001</v>
      </c>
      <c r="Y51" s="28">
        <v>121.65639589</v>
      </c>
      <c r="Z51" s="28">
        <v>122.01966424</v>
      </c>
      <c r="AA51" s="28">
        <v>118.71701715</v>
      </c>
      <c r="AB51" s="28">
        <v>119.89798926</v>
      </c>
      <c r="AC51" s="28">
        <v>117.18060696000001</v>
      </c>
      <c r="AD51" s="28">
        <v>118.36228672</v>
      </c>
      <c r="AE51" s="28">
        <v>115.31719898</v>
      </c>
      <c r="AF51" s="28">
        <v>110.60266196000001</v>
      </c>
      <c r="AG51" s="28">
        <v>111.29997787000001</v>
      </c>
      <c r="AH51" s="28">
        <v>106.27524855</v>
      </c>
      <c r="AI51" s="28">
        <v>110.53517540999999</v>
      </c>
      <c r="AJ51" s="28">
        <v>106.4948251</v>
      </c>
      <c r="AK51" s="28">
        <v>103.94678791</v>
      </c>
      <c r="AL51" s="28">
        <v>108.93741326999999</v>
      </c>
      <c r="AM51" s="28">
        <v>107.58007906</v>
      </c>
      <c r="AN51" s="28">
        <v>123.16874091</v>
      </c>
      <c r="AO51" s="28">
        <v>118.61391035</v>
      </c>
      <c r="AP51" s="28">
        <v>118.57123045</v>
      </c>
      <c r="AQ51" s="28">
        <v>117.87473567000001</v>
      </c>
      <c r="AR51" s="28">
        <v>122.56608685</v>
      </c>
      <c r="AS51" s="28">
        <v>121.8678331</v>
      </c>
      <c r="AT51" s="28">
        <v>123.21377671</v>
      </c>
      <c r="AU51" s="28">
        <v>124.13761719999999</v>
      </c>
      <c r="AV51" s="28">
        <v>124.59531412</v>
      </c>
      <c r="AW51" s="28">
        <v>123.45335912</v>
      </c>
      <c r="AX51" s="28">
        <v>124.83118947</v>
      </c>
      <c r="AY51" s="28">
        <v>122.50489877</v>
      </c>
      <c r="AZ51" s="28">
        <v>23.774489989999999</v>
      </c>
      <c r="BA51" s="28">
        <v>23.781145939999998</v>
      </c>
      <c r="BB51" s="28">
        <v>23.671265909999999</v>
      </c>
      <c r="BC51" s="28">
        <v>23.482624650000002</v>
      </c>
      <c r="BD51" s="28">
        <v>23.337505010000001</v>
      </c>
      <c r="BE51" s="28">
        <v>23.411833139999999</v>
      </c>
      <c r="BF51" s="28">
        <v>23.257491219999999</v>
      </c>
      <c r="BG51" s="28">
        <v>23.23830049</v>
      </c>
      <c r="BH51" s="28">
        <v>24.176137440000002</v>
      </c>
      <c r="BI51" s="28">
        <v>24.481042779999999</v>
      </c>
      <c r="BJ51" s="28">
        <v>26.043409019999999</v>
      </c>
      <c r="BK51" s="28">
        <v>26.693977960000002</v>
      </c>
      <c r="BL51" s="28">
        <v>26.908833949999998</v>
      </c>
      <c r="BM51" s="28">
        <v>27.091524199999999</v>
      </c>
      <c r="BN51" s="28">
        <v>27.334626369999999</v>
      </c>
      <c r="BO51" s="28">
        <v>27.535429870000002</v>
      </c>
      <c r="BP51" s="28">
        <v>34.677167009999998</v>
      </c>
      <c r="BQ51" s="28">
        <v>34.951203390000003</v>
      </c>
      <c r="BR51" s="28">
        <v>35.205505719999998</v>
      </c>
      <c r="BS51" s="28">
        <v>35.502084330000002</v>
      </c>
      <c r="BT51" s="28">
        <v>35.802391159999999</v>
      </c>
      <c r="BU51" s="28">
        <v>36.100042790000003</v>
      </c>
      <c r="BV51" s="28">
        <v>36.397138589999997</v>
      </c>
      <c r="BW51" s="28">
        <v>36.630220950000002</v>
      </c>
      <c r="BX51" s="28">
        <v>36.930765659999999</v>
      </c>
      <c r="BY51" s="28">
        <v>37.208295200000002</v>
      </c>
      <c r="BZ51" s="28">
        <v>37.470979640000003</v>
      </c>
      <c r="CA51" s="28">
        <v>37.758347260000001</v>
      </c>
      <c r="CB51" s="28">
        <v>38.043661219999997</v>
      </c>
      <c r="CC51" s="28">
        <v>38.317311089999997</v>
      </c>
      <c r="CD51" s="28">
        <v>38.570311050000001</v>
      </c>
      <c r="CE51" s="28">
        <v>38.638607469999997</v>
      </c>
      <c r="CF51" s="28">
        <v>38.945745510000002</v>
      </c>
      <c r="CG51" s="28">
        <v>0.71254514999999996</v>
      </c>
      <c r="CH51" s="28">
        <v>0.69480980999999997</v>
      </c>
      <c r="CI51" s="28">
        <v>0.69943314000000001</v>
      </c>
      <c r="CJ51" s="28">
        <v>0.71777469999999999</v>
      </c>
      <c r="CK51" s="28">
        <v>59.815664560000002</v>
      </c>
      <c r="CL51" s="28">
        <v>1.7001034799999999</v>
      </c>
      <c r="CM51" s="28">
        <v>1.68216236</v>
      </c>
      <c r="CN51" s="28">
        <v>1.7234222800000001</v>
      </c>
      <c r="CO51" s="28">
        <v>1.79309143</v>
      </c>
      <c r="CP51" s="28">
        <v>1.8031951399999999</v>
      </c>
      <c r="CQ51" s="28">
        <v>85.983928160000005</v>
      </c>
      <c r="CR51" s="28">
        <v>83.296852819999998</v>
      </c>
      <c r="CS51" s="28">
        <v>86.280214139999998</v>
      </c>
      <c r="CT51" s="28">
        <v>84.411273399999999</v>
      </c>
      <c r="CU51" s="28">
        <v>84.079134479999993</v>
      </c>
      <c r="CV51" s="28">
        <v>0</v>
      </c>
      <c r="CW51" s="28">
        <v>1.9008168000000001</v>
      </c>
      <c r="CX51" s="28">
        <v>0</v>
      </c>
      <c r="CY51" s="28">
        <v>0</v>
      </c>
      <c r="CZ51" s="28">
        <v>0</v>
      </c>
      <c r="DA51" s="28">
        <v>0</v>
      </c>
      <c r="DB51" s="28">
        <v>0</v>
      </c>
      <c r="DC51" s="28">
        <v>181.89702059999999</v>
      </c>
      <c r="DD51" s="28">
        <v>0</v>
      </c>
      <c r="DE51" s="28">
        <v>383.77834144000002</v>
      </c>
      <c r="DF51" s="28">
        <v>119.90424828</v>
      </c>
      <c r="DG51" s="28">
        <v>0</v>
      </c>
    </row>
    <row r="52" spans="1:112" s="40" customFormat="1" x14ac:dyDescent="0.3">
      <c r="A52" s="33" t="s">
        <v>27</v>
      </c>
      <c r="B52" s="34">
        <f t="shared" ref="B52:I52" si="11">IFERROR(100*(B51/B50),0)</f>
        <v>1.760423106120345E-4</v>
      </c>
      <c r="C52" s="34">
        <f t="shared" si="11"/>
        <v>4.8002717667284872E-5</v>
      </c>
      <c r="D52" s="34">
        <f t="shared" si="11"/>
        <v>4.7287947661510608E-5</v>
      </c>
      <c r="E52" s="34">
        <f t="shared" si="11"/>
        <v>4.1447123570589231E-5</v>
      </c>
      <c r="F52" s="34">
        <f t="shared" si="11"/>
        <v>0</v>
      </c>
      <c r="G52" s="34">
        <f t="shared" si="11"/>
        <v>0</v>
      </c>
      <c r="H52" s="34">
        <f t="shared" si="11"/>
        <v>0</v>
      </c>
      <c r="I52" s="36">
        <f t="shared" si="11"/>
        <v>0</v>
      </c>
      <c r="J52" s="37">
        <v>0</v>
      </c>
      <c r="K52" s="37">
        <v>0</v>
      </c>
      <c r="L52" s="37">
        <v>0</v>
      </c>
      <c r="M52" s="39">
        <v>6.2323600974172803E-4</v>
      </c>
      <c r="N52" s="39">
        <v>1.27892961393658E-8</v>
      </c>
      <c r="O52" s="47">
        <v>1.2371700527979199E-8</v>
      </c>
      <c r="P52" s="47">
        <v>1.18839971874994E-8</v>
      </c>
      <c r="Q52" s="47">
        <v>1.17168788961596E-8</v>
      </c>
      <c r="R52" s="47">
        <v>1.11738528212517E-8</v>
      </c>
      <c r="S52" s="47">
        <v>1.11589362307905E-8</v>
      </c>
      <c r="T52" s="47">
        <v>1.61584882524904E-4</v>
      </c>
      <c r="U52" s="47">
        <v>7.3575304054944696E-2</v>
      </c>
      <c r="V52" s="47">
        <v>8.8936887925389493E-2</v>
      </c>
      <c r="W52" s="47">
        <v>8.1989958535978402E-2</v>
      </c>
      <c r="X52" s="47">
        <v>0.124291241025393</v>
      </c>
      <c r="Y52" s="47">
        <v>9.3536548189707094E-2</v>
      </c>
      <c r="Z52" s="47">
        <v>9.7210874324247201E-2</v>
      </c>
      <c r="AA52" s="47">
        <v>0.107440965094476</v>
      </c>
      <c r="AB52" s="47">
        <v>0.10683049507133</v>
      </c>
      <c r="AC52" s="47">
        <v>0.11299985628834</v>
      </c>
      <c r="AD52" s="47">
        <v>0.109734915259647</v>
      </c>
      <c r="AE52" s="47">
        <v>0.118008439476294</v>
      </c>
      <c r="AF52" s="47">
        <v>0.109691878443</v>
      </c>
      <c r="AG52" s="47">
        <v>0.10435510729026699</v>
      </c>
      <c r="AH52" s="47">
        <v>9.4786951865433705E-2</v>
      </c>
      <c r="AI52" s="47">
        <v>9.9470762670361895E-2</v>
      </c>
      <c r="AJ52" s="47">
        <v>0.105142820248807</v>
      </c>
      <c r="AK52" s="47">
        <v>9.9038955705757395E-2</v>
      </c>
      <c r="AL52" s="47">
        <v>0.111736078112773</v>
      </c>
      <c r="AM52" s="47">
        <v>0.11900263459341</v>
      </c>
      <c r="AN52" s="47">
        <v>0.11237440182585701</v>
      </c>
      <c r="AO52" s="47">
        <v>0.112860467820438</v>
      </c>
      <c r="AP52" s="47">
        <v>0.112132042865229</v>
      </c>
      <c r="AQ52" s="47">
        <v>0.10430640017323201</v>
      </c>
      <c r="AR52" s="47">
        <v>0.10559256517540801</v>
      </c>
      <c r="AS52" s="47">
        <v>0.113455451706576</v>
      </c>
      <c r="AT52" s="47">
        <v>0.10909812712597999</v>
      </c>
      <c r="AU52" s="47">
        <v>0.110074910332754</v>
      </c>
      <c r="AV52" s="47">
        <v>0.107560696011699</v>
      </c>
      <c r="AW52" s="47">
        <v>9.8458396174384399E-2</v>
      </c>
      <c r="AX52" s="47">
        <v>0.10587407749576599</v>
      </c>
      <c r="AY52" s="47">
        <v>0.104787287784742</v>
      </c>
      <c r="AZ52" s="47">
        <v>1.9389992551363901E-2</v>
      </c>
      <c r="BA52" s="47">
        <v>2.0441672947715001E-2</v>
      </c>
      <c r="BB52" s="47">
        <v>2.17598969279326E-2</v>
      </c>
      <c r="BC52" s="47">
        <v>2.24238315484145E-2</v>
      </c>
      <c r="BD52" s="47">
        <v>2.4270601801708602E-2</v>
      </c>
      <c r="BE52" s="47">
        <v>2.47005562072929E-2</v>
      </c>
      <c r="BF52" s="47">
        <v>2.4286627880681401E-2</v>
      </c>
      <c r="BG52" s="47">
        <v>2.56214864431882E-2</v>
      </c>
      <c r="BH52" s="47">
        <v>2.7307873899082399E-2</v>
      </c>
      <c r="BI52" s="47">
        <v>2.5809916516400799E-2</v>
      </c>
      <c r="BJ52" s="47">
        <v>2.6172635233565299E-2</v>
      </c>
      <c r="BK52" s="47">
        <v>3.2414214989054724E-2</v>
      </c>
      <c r="BL52" s="47">
        <v>3.3242834364355899E-2</v>
      </c>
      <c r="BM52" s="47">
        <v>3.3036018148870701E-2</v>
      </c>
      <c r="BN52" s="47">
        <v>3.09007881770622E-2</v>
      </c>
      <c r="BO52" s="47">
        <v>3.3590549539579698E-2</v>
      </c>
      <c r="BP52" s="47">
        <v>3.4634334712519699E-2</v>
      </c>
      <c r="BQ52" s="47">
        <v>3.4780866595722201E-2</v>
      </c>
      <c r="BR52" s="47">
        <v>3.34378966547344E-2</v>
      </c>
      <c r="BS52" s="47">
        <v>3.42708357414028E-2</v>
      </c>
      <c r="BT52" s="47">
        <v>3.2860996288533097E-2</v>
      </c>
      <c r="BU52" s="47">
        <v>3.2113397401296102E-2</v>
      </c>
      <c r="BV52" s="47">
        <v>3.0899475482508699E-2</v>
      </c>
      <c r="BW52" s="47">
        <v>3.0904404863202801E-2</v>
      </c>
      <c r="BX52" s="47">
        <v>2.90221834324829E-2</v>
      </c>
      <c r="BY52" s="47">
        <v>2.81213712869538E-2</v>
      </c>
      <c r="BZ52" s="47">
        <v>2.6681032764479602E-2</v>
      </c>
      <c r="CA52" s="47">
        <v>2.61678704619666E-2</v>
      </c>
      <c r="CB52" s="47">
        <v>2.5967201983758299E-2</v>
      </c>
      <c r="CC52" s="47">
        <v>2.6050031528750701E-2</v>
      </c>
      <c r="CD52" s="47">
        <v>2.4823166494215902E-2</v>
      </c>
      <c r="CE52" s="47">
        <v>2.3944113237207298E-2</v>
      </c>
      <c r="CF52" s="47">
        <v>2.2763525678196998E-2</v>
      </c>
      <c r="CG52" s="47">
        <v>3.6306091560778302E-4</v>
      </c>
      <c r="CH52" s="47">
        <v>3.7750178218868202E-4</v>
      </c>
      <c r="CI52" s="47">
        <v>3.7903703582094201E-4</v>
      </c>
      <c r="CJ52" s="47">
        <v>3.8517077402293299E-4</v>
      </c>
      <c r="CK52" s="47">
        <v>3.19538938235438E-2</v>
      </c>
      <c r="CL52" s="47">
        <v>9.1506106997305795E-4</v>
      </c>
      <c r="CM52" s="47">
        <v>8.7416035566929601E-4</v>
      </c>
      <c r="CN52" s="47">
        <v>8.5645107522828404E-4</v>
      </c>
      <c r="CO52" s="47">
        <v>8.8157351555981096E-4</v>
      </c>
      <c r="CP52" s="47">
        <v>8.0256680934154799E-4</v>
      </c>
      <c r="CQ52" s="47">
        <v>3.7221264197831803E-2</v>
      </c>
      <c r="CR52" s="47">
        <v>3.7022913025100003E-2</v>
      </c>
      <c r="CS52" s="47">
        <v>3.8019929442177698E-2</v>
      </c>
      <c r="CT52" s="47">
        <v>3.9753375426081997E-2</v>
      </c>
      <c r="CU52" s="47">
        <v>4.02929863934538E-2</v>
      </c>
      <c r="CV52" s="47">
        <v>0</v>
      </c>
      <c r="CW52" s="47">
        <v>8.7007930770265497E-4</v>
      </c>
      <c r="CX52" s="47">
        <v>0</v>
      </c>
      <c r="CY52" s="47">
        <v>0</v>
      </c>
      <c r="CZ52" s="47">
        <v>0</v>
      </c>
      <c r="DA52" s="47">
        <v>0</v>
      </c>
      <c r="DB52" s="47">
        <v>0</v>
      </c>
      <c r="DC52" s="47">
        <v>7.7324205884064301E-2</v>
      </c>
      <c r="DD52" s="47">
        <v>0</v>
      </c>
      <c r="DE52" s="47">
        <v>0.14480492126782801</v>
      </c>
      <c r="DF52" s="47">
        <v>4.49191559033928E-2</v>
      </c>
      <c r="DG52" s="47">
        <v>0</v>
      </c>
    </row>
    <row r="53" spans="1:112" x14ac:dyDescent="0.3">
      <c r="A53" s="115" t="s">
        <v>29</v>
      </c>
      <c r="B53" s="105"/>
      <c r="C53" s="105"/>
      <c r="D53" s="105"/>
      <c r="E53" s="105"/>
      <c r="F53" s="105"/>
      <c r="G53" s="105"/>
      <c r="H53" s="105"/>
      <c r="I53" s="189"/>
      <c r="J53" s="102"/>
      <c r="K53" s="102"/>
      <c r="L53" s="102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1"/>
      <c r="CN53" s="161"/>
      <c r="CO53" s="161"/>
      <c r="CP53" s="161"/>
      <c r="CQ53" s="161"/>
      <c r="CR53" s="161"/>
      <c r="CS53" s="161"/>
      <c r="CT53" s="161"/>
      <c r="CU53" s="161"/>
      <c r="CV53" s="161"/>
      <c r="CW53" s="161"/>
      <c r="CX53" s="161"/>
      <c r="CY53" s="161"/>
      <c r="CZ53" s="161"/>
      <c r="DA53" s="161"/>
      <c r="DB53" s="161"/>
      <c r="DC53" s="161"/>
      <c r="DD53" s="161"/>
      <c r="DE53" s="161"/>
      <c r="DF53" s="161"/>
      <c r="DG53" s="161"/>
    </row>
    <row r="54" spans="1:112" s="30" customFormat="1" ht="28.8" x14ac:dyDescent="0.3">
      <c r="A54" s="24" t="s">
        <v>30</v>
      </c>
      <c r="B54" s="105">
        <v>2782.2145602699998</v>
      </c>
      <c r="C54" s="105">
        <v>2675.6207011400006</v>
      </c>
      <c r="D54" s="105">
        <v>1129.3836065099997</v>
      </c>
      <c r="E54" s="105">
        <v>74.238543129999996</v>
      </c>
      <c r="F54" s="105">
        <v>125.33273528000002</v>
      </c>
      <c r="G54" s="105">
        <v>91.759392290000008</v>
      </c>
      <c r="H54" s="105">
        <v>80.101385130000011</v>
      </c>
      <c r="I54" s="189">
        <v>133.08388267999999</v>
      </c>
      <c r="J54" s="105">
        <v>73.921881570000011</v>
      </c>
      <c r="K54" s="105">
        <v>74.373495980000001</v>
      </c>
      <c r="L54" s="105">
        <v>85.4076989</v>
      </c>
      <c r="M54" s="106">
        <v>16.747653379999999</v>
      </c>
      <c r="N54" s="106">
        <v>17.39479862</v>
      </c>
      <c r="O54" s="106">
        <v>69.039450889999998</v>
      </c>
      <c r="P54" s="106">
        <v>416.93093018000002</v>
      </c>
      <c r="Q54" s="106">
        <v>411.80682940000003</v>
      </c>
      <c r="R54" s="106">
        <v>712.55640363999998</v>
      </c>
      <c r="S54" s="106">
        <v>409.43095450999999</v>
      </c>
      <c r="T54" s="106">
        <v>418.29631198999999</v>
      </c>
      <c r="U54" s="106">
        <v>1007.72636799</v>
      </c>
      <c r="V54" s="106">
        <v>299.54694952</v>
      </c>
      <c r="W54" s="106">
        <v>297.65861295000002</v>
      </c>
      <c r="X54" s="106">
        <v>381.47924061999998</v>
      </c>
      <c r="Y54" s="106">
        <v>57.085392900000002</v>
      </c>
      <c r="Z54" s="106">
        <v>15.86083949</v>
      </c>
      <c r="AA54" s="106">
        <v>15.36692672</v>
      </c>
      <c r="AB54" s="106">
        <v>15.28377901</v>
      </c>
      <c r="AC54" s="106">
        <v>14.80428768</v>
      </c>
      <c r="AD54" s="106">
        <v>14.959909140000001</v>
      </c>
      <c r="AE54" s="106">
        <v>25.33162227</v>
      </c>
      <c r="AF54" s="106">
        <v>24.02434993</v>
      </c>
      <c r="AG54" s="106">
        <v>4354.3276262099998</v>
      </c>
      <c r="AH54" s="106">
        <v>22.800353510000001</v>
      </c>
      <c r="AI54" s="106">
        <v>261.53578499999998</v>
      </c>
      <c r="AJ54" s="106">
        <v>31.252209959999998</v>
      </c>
      <c r="AK54" s="106">
        <v>23703.964650000002</v>
      </c>
      <c r="AL54" s="106">
        <v>17462.4097</v>
      </c>
      <c r="AM54" s="106">
        <v>18.420750000000002</v>
      </c>
      <c r="AN54" s="106">
        <v>1650.4941249999999</v>
      </c>
      <c r="AO54" s="106">
        <v>1630.798892</v>
      </c>
      <c r="AP54" s="106">
        <v>2228.346802</v>
      </c>
      <c r="AQ54" s="106">
        <v>1857.119616</v>
      </c>
      <c r="AR54" s="106">
        <v>1597.518478</v>
      </c>
      <c r="AS54" s="106">
        <v>3005.929079</v>
      </c>
      <c r="AT54" s="106">
        <v>3886.14569901</v>
      </c>
      <c r="AU54" s="106">
        <v>1169.51247401</v>
      </c>
      <c r="AV54" s="106">
        <v>1421.5961979900001</v>
      </c>
      <c r="AW54" s="106">
        <v>9884.1346080000003</v>
      </c>
      <c r="AX54" s="106">
        <v>8003.9921270000004</v>
      </c>
      <c r="AY54" s="106">
        <v>7910.8324430000002</v>
      </c>
      <c r="AZ54" s="106">
        <v>8715.8268160000007</v>
      </c>
      <c r="BA54" s="106">
        <v>5700.1226999999999</v>
      </c>
      <c r="BB54" s="106">
        <v>11723.560452</v>
      </c>
      <c r="BC54" s="106">
        <v>12019.016534009999</v>
      </c>
      <c r="BD54" s="106">
        <v>11961.234606</v>
      </c>
      <c r="BE54" s="106">
        <v>12471.212978</v>
      </c>
      <c r="BF54" s="106">
        <v>15483.48698</v>
      </c>
      <c r="BG54" s="106">
        <v>12167.213702049999</v>
      </c>
      <c r="BH54" s="106">
        <v>13187.26933972</v>
      </c>
      <c r="BI54" s="106">
        <v>19625.90993183</v>
      </c>
      <c r="BJ54" s="106">
        <v>13347.090222950001</v>
      </c>
      <c r="BK54" s="106">
        <v>12739.19228365</v>
      </c>
      <c r="BL54" s="106">
        <v>8107.9963238099999</v>
      </c>
      <c r="BM54" s="106">
        <v>7193.42042029</v>
      </c>
      <c r="BN54" s="106">
        <v>4785.5718907600003</v>
      </c>
      <c r="BO54" s="106">
        <v>3916.1098440699998</v>
      </c>
      <c r="BP54" s="106">
        <v>4989.0739250899996</v>
      </c>
      <c r="BQ54" s="106">
        <v>4517.9930169400004</v>
      </c>
      <c r="BR54" s="106">
        <v>6216.0686724999996</v>
      </c>
      <c r="BS54" s="106">
        <v>4561.1389136899998</v>
      </c>
      <c r="BT54" s="106">
        <v>4265.23463223</v>
      </c>
      <c r="BU54" s="106">
        <v>7654.4424380299997</v>
      </c>
      <c r="BV54" s="106">
        <v>8040.7815487199996</v>
      </c>
      <c r="BW54" s="106">
        <v>8290.6426983199999</v>
      </c>
      <c r="BX54" s="106">
        <v>9936.1821543599999</v>
      </c>
      <c r="BY54" s="106">
        <v>8587.9616610899993</v>
      </c>
      <c r="BZ54" s="106">
        <v>6228.6714930099997</v>
      </c>
      <c r="CA54" s="106">
        <v>4540.9671102000002</v>
      </c>
      <c r="CB54" s="106">
        <v>5595.1712346900003</v>
      </c>
      <c r="CC54" s="106">
        <v>4062.21748084</v>
      </c>
      <c r="CD54" s="106">
        <v>4149.93059447</v>
      </c>
      <c r="CE54" s="106">
        <v>3848.0671261000002</v>
      </c>
      <c r="CF54" s="106">
        <v>3795.0328042299998</v>
      </c>
      <c r="CG54" s="106">
        <v>4186.2636939000004</v>
      </c>
      <c r="CH54" s="106">
        <v>4148.36470018</v>
      </c>
      <c r="CI54" s="106">
        <v>4042.34022959</v>
      </c>
      <c r="CJ54" s="106">
        <v>4069.97955391</v>
      </c>
      <c r="CK54" s="106">
        <v>4069.3826133900002</v>
      </c>
      <c r="CL54" s="106">
        <v>3754.15780477</v>
      </c>
      <c r="CM54" s="106">
        <v>3705.48534595</v>
      </c>
      <c r="CN54" s="106">
        <v>3728.5443993099998</v>
      </c>
      <c r="CO54" s="106">
        <v>3789.33628082</v>
      </c>
      <c r="CP54" s="106">
        <v>3479.50623348</v>
      </c>
      <c r="CQ54" s="106">
        <v>3453.17291191</v>
      </c>
      <c r="CR54" s="106">
        <v>3427.4068051200002</v>
      </c>
      <c r="CS54" s="106">
        <v>3441.2382588400001</v>
      </c>
      <c r="CT54" s="106">
        <v>3359.9497271</v>
      </c>
      <c r="CU54" s="106">
        <v>3346.9387105400001</v>
      </c>
      <c r="CV54" s="106">
        <v>3422.6761240599999</v>
      </c>
      <c r="CW54" s="106">
        <v>3503.4096366700001</v>
      </c>
      <c r="CX54" s="106">
        <v>3423.5218136399999</v>
      </c>
      <c r="CY54" s="106">
        <v>3484.23997882</v>
      </c>
      <c r="CZ54" s="106">
        <v>3442.4550613299998</v>
      </c>
      <c r="DA54" s="106">
        <v>3441.4363365300001</v>
      </c>
      <c r="DB54" s="106">
        <v>3448.5828319299999</v>
      </c>
      <c r="DC54" s="106">
        <v>3196.9886719299998</v>
      </c>
      <c r="DD54" s="106">
        <v>3204.3853749300001</v>
      </c>
      <c r="DE54" s="106">
        <v>3252.4389502600002</v>
      </c>
      <c r="DF54" s="106">
        <v>3439.24632849</v>
      </c>
      <c r="DG54" s="106">
        <v>3431.66755306</v>
      </c>
    </row>
    <row r="55" spans="1:112" s="30" customFormat="1" ht="28.8" x14ac:dyDescent="0.3">
      <c r="A55" s="48" t="s">
        <v>31</v>
      </c>
      <c r="B55" s="46">
        <v>79102.893922260104</v>
      </c>
      <c r="C55" s="46">
        <v>125573.72077188989</v>
      </c>
      <c r="D55" s="46">
        <v>128607.11525912001</v>
      </c>
      <c r="E55" s="46">
        <v>121716.43519876013</v>
      </c>
      <c r="F55" s="46">
        <v>125131.91082208001</v>
      </c>
      <c r="G55" s="46">
        <v>129141.51322441005</v>
      </c>
      <c r="H55" s="46">
        <v>137048.74052907983</v>
      </c>
      <c r="I55" s="186">
        <v>129357.8145563602</v>
      </c>
      <c r="J55" s="46">
        <v>138744.71727665991</v>
      </c>
      <c r="K55" s="46">
        <v>116506.56705504</v>
      </c>
      <c r="L55" s="46">
        <v>105325.72613188</v>
      </c>
      <c r="M55" s="42">
        <v>100044.81817785</v>
      </c>
      <c r="N55" s="42">
        <v>102531.01428202</v>
      </c>
      <c r="O55" s="43">
        <v>107383.72368018</v>
      </c>
      <c r="P55" s="43">
        <v>104739.35463949</v>
      </c>
      <c r="Q55" s="43">
        <v>101423.82820351</v>
      </c>
      <c r="R55" s="43">
        <v>98144.452728360004</v>
      </c>
      <c r="S55" s="43">
        <v>98158.56542169</v>
      </c>
      <c r="T55" s="43">
        <v>101424.33417505999</v>
      </c>
      <c r="U55" s="43">
        <v>115835.75489828001</v>
      </c>
      <c r="V55" s="43">
        <v>114673.81641528</v>
      </c>
      <c r="W55" s="43">
        <v>111155.67129938</v>
      </c>
      <c r="X55" s="43">
        <v>91787.609965530006</v>
      </c>
      <c r="Y55" s="43">
        <v>88526.19376296</v>
      </c>
      <c r="Z55" s="43">
        <v>81535.794359699998</v>
      </c>
      <c r="AA55" s="43">
        <v>107488.00994649</v>
      </c>
      <c r="AB55" s="43">
        <v>82631.763133579996</v>
      </c>
      <c r="AC55" s="43">
        <v>91757.219740329994</v>
      </c>
      <c r="AD55" s="43">
        <v>95228.290252620005</v>
      </c>
      <c r="AE55" s="43">
        <v>115873.72089559</v>
      </c>
      <c r="AF55" s="43">
        <v>135716.89129395</v>
      </c>
      <c r="AG55" s="43">
        <v>120209.48964908</v>
      </c>
      <c r="AH55" s="43">
        <v>112805.43407394001</v>
      </c>
      <c r="AI55" s="43">
        <v>112158.19630623001</v>
      </c>
      <c r="AJ55" s="43">
        <v>131562.33840420001</v>
      </c>
      <c r="AK55" s="43">
        <v>120261.61920827</v>
      </c>
      <c r="AL55" s="43">
        <v>155567.21080981</v>
      </c>
      <c r="AM55" s="43">
        <v>171057.19475833001</v>
      </c>
      <c r="AN55" s="43">
        <v>198323.30340981999</v>
      </c>
      <c r="AO55" s="43">
        <v>180214.19162124</v>
      </c>
      <c r="AP55" s="43">
        <v>184921.01332508001</v>
      </c>
      <c r="AQ55" s="43">
        <v>183382.10925392999</v>
      </c>
      <c r="AR55" s="43">
        <v>205303.61207279001</v>
      </c>
      <c r="AS55" s="43">
        <v>201185.97870050999</v>
      </c>
      <c r="AT55" s="43">
        <v>211574.43317333001</v>
      </c>
      <c r="AU55" s="43">
        <v>217164.17929837</v>
      </c>
      <c r="AV55" s="43">
        <v>215375.38051993001</v>
      </c>
      <c r="AW55" s="43">
        <v>180978.05714352999</v>
      </c>
      <c r="AX55" s="43">
        <v>188211.31853331</v>
      </c>
      <c r="AY55" s="43">
        <v>182280.79577734999</v>
      </c>
      <c r="AZ55" s="43">
        <v>188052.79044007001</v>
      </c>
      <c r="BA55" s="43">
        <v>197470.1064325</v>
      </c>
      <c r="BB55" s="43">
        <v>205223.65381473</v>
      </c>
      <c r="BC55" s="43">
        <v>206602.56097629</v>
      </c>
      <c r="BD55" s="43">
        <v>222499.40013761999</v>
      </c>
      <c r="BE55" s="43">
        <v>216336.88912144001</v>
      </c>
      <c r="BF55" s="43">
        <v>210651.32200538</v>
      </c>
      <c r="BG55" s="43">
        <v>199241.59761288</v>
      </c>
      <c r="BH55" s="43">
        <v>201830.24849351001</v>
      </c>
      <c r="BI55" s="43">
        <v>181686.36284495</v>
      </c>
      <c r="BJ55" s="43">
        <v>180342.88793120999</v>
      </c>
      <c r="BK55" s="43">
        <v>196180.85552557983</v>
      </c>
      <c r="BL55" s="43">
        <v>183251.79664635001</v>
      </c>
      <c r="BM55" s="43">
        <v>195623.12337146001</v>
      </c>
      <c r="BN55" s="43">
        <v>190467.83155606</v>
      </c>
      <c r="BO55" s="43">
        <v>235853.54609426999</v>
      </c>
      <c r="BP55" s="43">
        <v>295413.85084978997</v>
      </c>
      <c r="BQ55" s="43">
        <v>280864.92126363999</v>
      </c>
      <c r="BR55" s="43">
        <v>278828.57396071998</v>
      </c>
      <c r="BS55" s="43">
        <v>318864.26664824999</v>
      </c>
      <c r="BT55" s="43">
        <v>307382.31383865001</v>
      </c>
      <c r="BU55" s="43">
        <v>324505.40660977003</v>
      </c>
      <c r="BV55" s="43">
        <v>337243.71545642999</v>
      </c>
      <c r="BW55" s="43">
        <v>347436.36583402002</v>
      </c>
      <c r="BX55" s="43">
        <v>351230.5726434</v>
      </c>
      <c r="BY55" s="43">
        <v>349783.83110478002</v>
      </c>
      <c r="BZ55" s="43">
        <v>337881.41553693003</v>
      </c>
      <c r="CA55" s="43">
        <v>351989.88913258002</v>
      </c>
      <c r="CB55" s="43">
        <v>350178.90824352001</v>
      </c>
      <c r="CC55" s="43">
        <v>348461.55369877</v>
      </c>
      <c r="CD55" s="43">
        <v>328289.90833697998</v>
      </c>
      <c r="CE55" s="43">
        <v>332992.48371413001</v>
      </c>
      <c r="CF55" s="43">
        <v>317873.68952254002</v>
      </c>
      <c r="CG55" s="43">
        <v>355925.38556467002</v>
      </c>
      <c r="CH55" s="43">
        <v>341999.70249226998</v>
      </c>
      <c r="CI55" s="43">
        <v>346675.52458089998</v>
      </c>
      <c r="CJ55" s="43">
        <v>366890.03629343002</v>
      </c>
      <c r="CK55" s="43">
        <v>374195.26598438999</v>
      </c>
      <c r="CL55" s="43">
        <v>393877.88655693998</v>
      </c>
      <c r="CM55" s="43">
        <v>399266.73443385999</v>
      </c>
      <c r="CN55" s="43">
        <v>398154.14712797001</v>
      </c>
      <c r="CO55" s="43">
        <v>398015.20400986</v>
      </c>
      <c r="CP55" s="43">
        <v>356536.20345457998</v>
      </c>
      <c r="CQ55" s="43">
        <v>368825.53598417999</v>
      </c>
      <c r="CR55" s="43">
        <v>353777.21169152</v>
      </c>
      <c r="CS55" s="43">
        <v>368249.73352851003</v>
      </c>
      <c r="CT55" s="43">
        <v>389015.14436507999</v>
      </c>
      <c r="CU55" s="43">
        <v>366031.02276942</v>
      </c>
      <c r="CV55" s="43">
        <v>362397.83543901</v>
      </c>
      <c r="CW55" s="43">
        <v>357992.14299462998</v>
      </c>
      <c r="CX55" s="43">
        <v>361399.79992285999</v>
      </c>
      <c r="CY55" s="43">
        <v>340311.10468728002</v>
      </c>
      <c r="CZ55" s="43">
        <v>357842.62476198998</v>
      </c>
      <c r="DA55" s="43">
        <v>356523.60071685002</v>
      </c>
      <c r="DB55" s="43">
        <v>357720.51700082998</v>
      </c>
      <c r="DC55" s="43">
        <v>346782.58028135</v>
      </c>
      <c r="DD55" s="43">
        <v>310342.75528272003</v>
      </c>
      <c r="DE55" s="43">
        <v>332071.40145839</v>
      </c>
      <c r="DF55" s="43">
        <v>348343.69761531998</v>
      </c>
      <c r="DG55" s="43">
        <v>320139.04740647</v>
      </c>
    </row>
    <row r="56" spans="1:112" s="30" customFormat="1" x14ac:dyDescent="0.3">
      <c r="A56" s="31" t="s">
        <v>26</v>
      </c>
      <c r="B56" s="25">
        <v>51.272080289999998</v>
      </c>
      <c r="C56" s="25">
        <v>3337.1254388900002</v>
      </c>
      <c r="D56" s="25">
        <v>3722.9395194900003</v>
      </c>
      <c r="E56" s="25">
        <v>3330.3331379600013</v>
      </c>
      <c r="F56" s="25">
        <v>3437.84141451</v>
      </c>
      <c r="G56" s="25">
        <v>3351.55132254</v>
      </c>
      <c r="H56" s="25">
        <v>3310.851120830001</v>
      </c>
      <c r="I56" s="187">
        <v>3336.6293995300002</v>
      </c>
      <c r="J56" s="32">
        <v>3405.965756940001</v>
      </c>
      <c r="K56" s="32">
        <v>3392.6760549999999</v>
      </c>
      <c r="L56" s="32">
        <v>3427.9955563600001</v>
      </c>
      <c r="M56" s="27">
        <v>3583.9306961699999</v>
      </c>
      <c r="N56" s="27">
        <v>4068.9306811699998</v>
      </c>
      <c r="O56" s="29">
        <v>3489.0416372499999</v>
      </c>
      <c r="P56" s="29">
        <v>3600.9769997200001</v>
      </c>
      <c r="Q56" s="118">
        <v>3559.4612677999999</v>
      </c>
      <c r="R56" s="118">
        <v>3524.8981309000001</v>
      </c>
      <c r="S56" s="29">
        <v>3587.1211806599999</v>
      </c>
      <c r="T56" s="118">
        <v>3828.2640270299999</v>
      </c>
      <c r="U56" s="29">
        <v>3787.23524808</v>
      </c>
      <c r="V56" s="29">
        <v>3772.98283842</v>
      </c>
      <c r="W56" s="29">
        <v>3726.0085898900002</v>
      </c>
      <c r="X56" s="29">
        <v>3798.1810043599999</v>
      </c>
      <c r="Y56" s="29">
        <v>3686.5842410099999</v>
      </c>
      <c r="Z56" s="29">
        <v>3710.4147848399998</v>
      </c>
      <c r="AA56" s="29">
        <v>3671.5467553399999</v>
      </c>
      <c r="AB56" s="29">
        <v>3676.1545449499999</v>
      </c>
      <c r="AC56" s="29">
        <v>3896.95290273</v>
      </c>
      <c r="AD56" s="29">
        <v>3620.9605661400001</v>
      </c>
      <c r="AE56" s="29">
        <v>3359.7146116200001</v>
      </c>
      <c r="AF56" s="29">
        <v>3197.0832808199998</v>
      </c>
      <c r="AG56" s="29">
        <v>3206.1905328900002</v>
      </c>
      <c r="AH56" s="29">
        <v>3102.7177459499999</v>
      </c>
      <c r="AI56" s="29">
        <v>3162.7713691700001</v>
      </c>
      <c r="AJ56" s="29">
        <v>3076.7495451200002</v>
      </c>
      <c r="AK56" s="29">
        <v>3202.0753632599999</v>
      </c>
      <c r="AL56" s="29">
        <v>3331.1825548800002</v>
      </c>
      <c r="AM56" s="29">
        <v>3253.0585248699999</v>
      </c>
      <c r="AN56" s="29">
        <v>3737.3255342399998</v>
      </c>
      <c r="AO56" s="29">
        <v>3588.9175902400002</v>
      </c>
      <c r="AP56" s="29">
        <v>3565.1423330299999</v>
      </c>
      <c r="AQ56" s="29">
        <v>3557.3369953900001</v>
      </c>
      <c r="AR56" s="29">
        <v>3704.67954779</v>
      </c>
      <c r="AS56" s="29">
        <v>3720.4928021000001</v>
      </c>
      <c r="AT56" s="29">
        <v>3901.1308375399999</v>
      </c>
      <c r="AU56" s="29">
        <v>3792.89867258</v>
      </c>
      <c r="AV56" s="29">
        <v>3815.2479399399999</v>
      </c>
      <c r="AW56" s="29">
        <v>4247.5774979300004</v>
      </c>
      <c r="AX56" s="29">
        <v>4186.89048637</v>
      </c>
      <c r="AY56" s="29">
        <v>4165.2203528199998</v>
      </c>
      <c r="AZ56" s="29">
        <v>4104.9437702100004</v>
      </c>
      <c r="BA56" s="29">
        <v>3626.4656121899998</v>
      </c>
      <c r="BB56" s="29">
        <v>3524.3992660700001</v>
      </c>
      <c r="BC56" s="29">
        <v>212.27210285999999</v>
      </c>
      <c r="BD56" s="29">
        <v>136.52522994</v>
      </c>
      <c r="BE56" s="29">
        <v>131.74302857000001</v>
      </c>
      <c r="BF56" s="29">
        <v>341.41115258000002</v>
      </c>
      <c r="BG56" s="29">
        <v>170.42762981000001</v>
      </c>
      <c r="BH56" s="29">
        <v>152.82012671999999</v>
      </c>
      <c r="BI56" s="29">
        <v>158.38772707000001</v>
      </c>
      <c r="BJ56" s="29">
        <v>123.31760136</v>
      </c>
      <c r="BK56" s="29">
        <v>136.41318589999997</v>
      </c>
      <c r="BL56" s="29">
        <v>329.35752874999997</v>
      </c>
      <c r="BM56" s="29">
        <v>728.50847537000004</v>
      </c>
      <c r="BN56" s="29">
        <v>776.08915090999994</v>
      </c>
      <c r="BO56" s="29">
        <v>914.82983222999997</v>
      </c>
      <c r="BP56" s="29">
        <v>1020.83109203</v>
      </c>
      <c r="BQ56" s="29">
        <v>997.01451310000004</v>
      </c>
      <c r="BR56" s="29">
        <v>1192.2168067800001</v>
      </c>
      <c r="BS56" s="29">
        <v>1115.0109592399999</v>
      </c>
      <c r="BT56" s="29">
        <v>1149.1534603</v>
      </c>
      <c r="BU56" s="29">
        <v>961.76407525000002</v>
      </c>
      <c r="BV56" s="29">
        <v>993.80257676999997</v>
      </c>
      <c r="BW56" s="29">
        <v>933.80743735999999</v>
      </c>
      <c r="BX56" s="29">
        <v>926.63313190999997</v>
      </c>
      <c r="BY56" s="29">
        <v>874.21003332999999</v>
      </c>
      <c r="BZ56" s="29">
        <v>880.73583515999997</v>
      </c>
      <c r="CA56" s="29">
        <v>892.56717549999996</v>
      </c>
      <c r="CB56" s="29">
        <v>868.47132905000001</v>
      </c>
      <c r="CC56" s="29">
        <v>828.03801217</v>
      </c>
      <c r="CD56" s="29">
        <v>823.21528065999996</v>
      </c>
      <c r="CE56" s="29">
        <v>837.25116584</v>
      </c>
      <c r="CF56" s="29">
        <v>880.05885920000003</v>
      </c>
      <c r="CG56" s="29">
        <v>905.11376353000003</v>
      </c>
      <c r="CH56" s="29">
        <v>972.54596729000002</v>
      </c>
      <c r="CI56" s="29">
        <v>897.53614293999999</v>
      </c>
      <c r="CJ56" s="29">
        <v>913.47992547000001</v>
      </c>
      <c r="CK56" s="29">
        <v>830.63601186999995</v>
      </c>
      <c r="CL56" s="29">
        <v>850.17250604000003</v>
      </c>
      <c r="CM56" s="29">
        <v>890.77216738000004</v>
      </c>
      <c r="CN56" s="29">
        <v>892.79333297999995</v>
      </c>
      <c r="CO56" s="29">
        <v>849.67827490000002</v>
      </c>
      <c r="CP56" s="29">
        <v>836.75649997000005</v>
      </c>
      <c r="CQ56" s="29">
        <v>806.11067510999999</v>
      </c>
      <c r="CR56" s="29">
        <v>735.63925400000005</v>
      </c>
      <c r="CS56" s="29">
        <v>758.37100372999998</v>
      </c>
      <c r="CT56" s="29">
        <v>702.96700695000004</v>
      </c>
      <c r="CU56" s="29">
        <v>777.96104531000003</v>
      </c>
      <c r="CV56" s="29">
        <v>937.06238499000006</v>
      </c>
      <c r="CW56" s="29">
        <v>934.38008581999998</v>
      </c>
      <c r="CX56" s="29">
        <v>1026.8414583000001</v>
      </c>
      <c r="CY56" s="29">
        <v>1026.54883473</v>
      </c>
      <c r="CZ56" s="29">
        <v>1031.3654454</v>
      </c>
      <c r="DA56" s="29">
        <v>1037.0184962599999</v>
      </c>
      <c r="DB56" s="29">
        <v>1066.53372397</v>
      </c>
      <c r="DC56" s="29">
        <v>1069.1109313300001</v>
      </c>
      <c r="DD56" s="29">
        <v>1066.40770331</v>
      </c>
      <c r="DE56" s="29">
        <v>1071.474903</v>
      </c>
      <c r="DF56" s="29">
        <v>1210.8259092400001</v>
      </c>
      <c r="DG56" s="29">
        <v>1081.6986527700001</v>
      </c>
    </row>
    <row r="57" spans="1:112" s="40" customFormat="1" x14ac:dyDescent="0.3">
      <c r="A57" s="33" t="s">
        <v>27</v>
      </c>
      <c r="B57" s="97">
        <f t="shared" ref="B57:I57" si="12">IFERROR(100*(B56/B55),0)</f>
        <v>6.4816946318536239E-2</v>
      </c>
      <c r="C57" s="97">
        <f t="shared" si="12"/>
        <v>2.6575030335782066</v>
      </c>
      <c r="D57" s="97">
        <f t="shared" si="12"/>
        <v>2.8948161320537769</v>
      </c>
      <c r="E57" s="97">
        <f t="shared" si="12"/>
        <v>2.7361408773775246</v>
      </c>
      <c r="F57" s="97">
        <f t="shared" si="12"/>
        <v>2.7473738648474146</v>
      </c>
      <c r="G57" s="97">
        <f t="shared" si="12"/>
        <v>2.5952548013867447</v>
      </c>
      <c r="H57" s="97">
        <f t="shared" si="12"/>
        <v>2.415820173208731</v>
      </c>
      <c r="I57" s="194">
        <f t="shared" si="12"/>
        <v>2.5793798472656295</v>
      </c>
      <c r="J57" s="37">
        <v>2.4548435600242948</v>
      </c>
      <c r="K57" s="37">
        <v>2.91200413912911</v>
      </c>
      <c r="L57" s="37">
        <v>3.2546612136029802</v>
      </c>
      <c r="M57" s="38">
        <v>3.5823251633071398</v>
      </c>
      <c r="N57" s="39">
        <v>3.9684876909322999</v>
      </c>
      <c r="O57" s="47">
        <v>3.2491345221379899</v>
      </c>
      <c r="P57" s="47">
        <v>3.43803626832957</v>
      </c>
      <c r="Q57" s="39">
        <v>3.5094921290663899</v>
      </c>
      <c r="R57" s="39">
        <v>3.5915408695141</v>
      </c>
      <c r="S57" s="47">
        <v>3.6544148391428699</v>
      </c>
      <c r="T57" s="39">
        <v>3.7745024980123199</v>
      </c>
      <c r="U57" s="47">
        <v>3.2694872592712998</v>
      </c>
      <c r="V57" s="47">
        <v>3.2901868590093102</v>
      </c>
      <c r="W57" s="47">
        <v>3.35206341370976</v>
      </c>
      <c r="X57" s="47">
        <v>4.1380105722181604</v>
      </c>
      <c r="Y57" s="47">
        <v>4.1643993538017599</v>
      </c>
      <c r="Z57" s="47">
        <v>4.55065755350501</v>
      </c>
      <c r="AA57" s="47">
        <v>3.4157733101280598</v>
      </c>
      <c r="AB57" s="47">
        <v>4.4488395328164998</v>
      </c>
      <c r="AC57" s="47">
        <v>4.2470259166071704</v>
      </c>
      <c r="AD57" s="47">
        <v>3.8024000604593202</v>
      </c>
      <c r="AE57" s="47">
        <v>2.8994620917087199</v>
      </c>
      <c r="AF57" s="47">
        <v>2.3557003482311001</v>
      </c>
      <c r="AG57" s="47">
        <v>2.6671692411719201</v>
      </c>
      <c r="AH57" s="47">
        <v>2.7505037956915102</v>
      </c>
      <c r="AI57" s="47">
        <v>2.8199199642392201</v>
      </c>
      <c r="AJ57" s="47">
        <v>2.3386248545288701</v>
      </c>
      <c r="AK57" s="47">
        <v>2.6625912609031301</v>
      </c>
      <c r="AL57" s="47">
        <v>2.1413140581099501</v>
      </c>
      <c r="AM57" s="47">
        <v>1.90173732795392</v>
      </c>
      <c r="AN57" s="47">
        <v>1.88446111474712</v>
      </c>
      <c r="AO57" s="47">
        <v>1.9914733451086399</v>
      </c>
      <c r="AP57" s="47">
        <v>1.92792710191496</v>
      </c>
      <c r="AQ57" s="47">
        <v>1.9398495359567201</v>
      </c>
      <c r="AR57" s="47">
        <v>1.80448824567028</v>
      </c>
      <c r="AS57" s="47">
        <v>1.8492803654266601</v>
      </c>
      <c r="AT57" s="47">
        <v>1.84385739762046</v>
      </c>
      <c r="AU57" s="47">
        <v>1.74655815007538</v>
      </c>
      <c r="AV57" s="47">
        <v>1.7714410675583001</v>
      </c>
      <c r="AW57" s="47">
        <v>2.34701243066243</v>
      </c>
      <c r="AX57" s="47">
        <v>2.2245689148758601</v>
      </c>
      <c r="AY57" s="47">
        <v>2.2850571477138399</v>
      </c>
      <c r="AZ57" s="47">
        <v>2.1828677790974802</v>
      </c>
      <c r="BA57" s="47">
        <v>1.8364630868468199</v>
      </c>
      <c r="BB57" s="47">
        <v>1.7173455401255699</v>
      </c>
      <c r="BC57" s="47">
        <v>0.102744177931251</v>
      </c>
      <c r="BD57" s="47">
        <v>6.1359819332347298E-2</v>
      </c>
      <c r="BE57" s="47">
        <v>6.0897163264674002E-2</v>
      </c>
      <c r="BF57" s="47">
        <v>0.162074061216326</v>
      </c>
      <c r="BG57" s="47">
        <v>8.5538176691965395E-2</v>
      </c>
      <c r="BH57" s="47">
        <v>7.5717157294643095E-2</v>
      </c>
      <c r="BI57" s="47">
        <v>8.7176453196527004E-2</v>
      </c>
      <c r="BJ57" s="47">
        <v>6.8379520132248406E-2</v>
      </c>
      <c r="BK57" s="47">
        <v>6.9534402597308073E-2</v>
      </c>
      <c r="BL57" s="47">
        <v>0.179729495032244</v>
      </c>
      <c r="BM57" s="47">
        <v>0.37240407105997803</v>
      </c>
      <c r="BN57" s="47">
        <v>0.407464685542753</v>
      </c>
      <c r="BO57" s="47">
        <v>0.38788046539030802</v>
      </c>
      <c r="BP57" s="47">
        <v>0.34555965777957598</v>
      </c>
      <c r="BQ57" s="47">
        <v>0.35498007676228499</v>
      </c>
      <c r="BR57" s="47">
        <v>0.42758057032847502</v>
      </c>
      <c r="BS57" s="47">
        <v>0.349682004496919</v>
      </c>
      <c r="BT57" s="47">
        <v>0.37385152253854398</v>
      </c>
      <c r="BU57" s="47">
        <v>0.29637844413685099</v>
      </c>
      <c r="BV57" s="47">
        <v>0.294683794307323</v>
      </c>
      <c r="BW57" s="47">
        <v>0.268770781987199</v>
      </c>
      <c r="BX57" s="47">
        <v>0.26382473625119202</v>
      </c>
      <c r="BY57" s="47">
        <v>0.24992865752794799</v>
      </c>
      <c r="BZ57" s="47">
        <v>0.26066418413703402</v>
      </c>
      <c r="CA57" s="47">
        <v>0.25357750408671698</v>
      </c>
      <c r="CB57" s="47">
        <v>0.24800789213896701</v>
      </c>
      <c r="CC57" s="47">
        <v>0.23762679221874899</v>
      </c>
      <c r="CD57" s="47">
        <v>0.25075863124461101</v>
      </c>
      <c r="CE57" s="47">
        <v>0.251432451718271</v>
      </c>
      <c r="CF57" s="47">
        <v>0.27685803770733203</v>
      </c>
      <c r="CG57" s="47">
        <v>0.2542987379487</v>
      </c>
      <c r="CH57" s="47">
        <v>0.28437041324969597</v>
      </c>
      <c r="CI57" s="47">
        <v>0.25889804133852301</v>
      </c>
      <c r="CJ57" s="47">
        <v>0.24897921314478499</v>
      </c>
      <c r="CK57" s="47">
        <v>0.221979294603008</v>
      </c>
      <c r="CL57" s="47">
        <v>0.21584672180297601</v>
      </c>
      <c r="CM57" s="47">
        <v>0.22310202442561899</v>
      </c>
      <c r="CN57" s="47">
        <v>0.22423308646162299</v>
      </c>
      <c r="CO57" s="47">
        <v>0.21347884863186101</v>
      </c>
      <c r="CP57" s="47">
        <v>0.23469047234542501</v>
      </c>
      <c r="CQ57" s="47">
        <v>0.21856151390357501</v>
      </c>
      <c r="CR57" s="47">
        <v>0.20793856407049999</v>
      </c>
      <c r="CS57" s="47">
        <v>0.205939321792146</v>
      </c>
      <c r="CT57" s="47">
        <v>0.18070427774664899</v>
      </c>
      <c r="CU57" s="47">
        <v>0.21253964743859299</v>
      </c>
      <c r="CV57" s="47">
        <v>0.25857284270333403</v>
      </c>
      <c r="CW57" s="47">
        <v>0.26100575225027101</v>
      </c>
      <c r="CX57" s="47">
        <v>0.28412895040871</v>
      </c>
      <c r="CY57" s="47">
        <v>0.30165011384900903</v>
      </c>
      <c r="CZ57" s="47">
        <v>0.28821760573827299</v>
      </c>
      <c r="DA57" s="47">
        <v>0.29086952285203599</v>
      </c>
      <c r="DB57" s="47">
        <v>0.298147205229362</v>
      </c>
      <c r="DC57" s="47">
        <v>0.30829430084481602</v>
      </c>
      <c r="DD57" s="47">
        <v>0.34362255446836898</v>
      </c>
      <c r="DE57" s="47">
        <v>0.32266401090075802</v>
      </c>
      <c r="DF57" s="47">
        <v>0.347595181864645</v>
      </c>
      <c r="DG57" s="47">
        <v>0.33788401056763401</v>
      </c>
    </row>
    <row r="58" spans="1:112" x14ac:dyDescent="0.3">
      <c r="A58" s="115" t="s">
        <v>32</v>
      </c>
      <c r="B58" s="105"/>
      <c r="C58" s="105"/>
      <c r="D58" s="105"/>
      <c r="E58" s="105"/>
      <c r="F58" s="105"/>
      <c r="G58" s="105"/>
      <c r="H58" s="105"/>
      <c r="I58" s="189"/>
      <c r="J58" s="102"/>
      <c r="K58" s="102"/>
      <c r="L58" s="102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1"/>
      <c r="CN58" s="161"/>
      <c r="CO58" s="161"/>
      <c r="CP58" s="161"/>
      <c r="CQ58" s="161"/>
      <c r="CR58" s="161"/>
      <c r="CS58" s="161"/>
      <c r="CT58" s="161"/>
      <c r="CU58" s="161"/>
      <c r="CV58" s="161"/>
      <c r="CW58" s="161"/>
      <c r="CX58" s="161"/>
      <c r="CY58" s="161"/>
      <c r="CZ58" s="161"/>
      <c r="DA58" s="161"/>
      <c r="DB58" s="161"/>
      <c r="DC58" s="161"/>
      <c r="DD58" s="161"/>
      <c r="DE58" s="161"/>
      <c r="DF58" s="161"/>
      <c r="DG58" s="161"/>
    </row>
    <row r="59" spans="1:112" s="30" customFormat="1" x14ac:dyDescent="0.3">
      <c r="A59" s="48" t="s">
        <v>32</v>
      </c>
      <c r="B59" s="46">
        <v>0</v>
      </c>
      <c r="C59" s="46">
        <v>0</v>
      </c>
      <c r="D59" s="46">
        <v>0.33089479999999999</v>
      </c>
      <c r="E59" s="46">
        <v>0</v>
      </c>
      <c r="F59" s="46">
        <v>0</v>
      </c>
      <c r="G59" s="46">
        <v>23.694873870000002</v>
      </c>
      <c r="H59" s="46">
        <v>4.5210591999999998</v>
      </c>
      <c r="I59" s="186">
        <v>0.11751300000000001</v>
      </c>
      <c r="J59" s="46">
        <v>1.1921105000000001</v>
      </c>
      <c r="K59" s="46">
        <v>3.6731603800000001</v>
      </c>
      <c r="L59" s="46">
        <v>3.37812789</v>
      </c>
      <c r="M59" s="43">
        <v>1.9385045999999999</v>
      </c>
      <c r="N59" s="43">
        <v>0</v>
      </c>
      <c r="O59" s="42">
        <v>1.1153589699999999</v>
      </c>
      <c r="P59" s="42">
        <v>7.429471E-2</v>
      </c>
      <c r="Q59" s="42">
        <v>0</v>
      </c>
      <c r="R59" s="42">
        <v>0</v>
      </c>
      <c r="S59" s="42">
        <v>0.64242034000000003</v>
      </c>
      <c r="T59" s="42">
        <v>6.4153224700000004</v>
      </c>
      <c r="U59" s="42">
        <v>2.60625609</v>
      </c>
      <c r="V59" s="42">
        <v>0.24905373</v>
      </c>
      <c r="W59" s="42">
        <v>9.7310899999999995E-3</v>
      </c>
      <c r="X59" s="42">
        <v>1.1209</v>
      </c>
      <c r="Y59" s="42">
        <v>0</v>
      </c>
      <c r="Z59" s="42">
        <v>8.5773730000000006E-2</v>
      </c>
      <c r="AA59" s="42">
        <v>1.15569364</v>
      </c>
      <c r="AB59" s="42">
        <v>1.7158545700000001</v>
      </c>
      <c r="AC59" s="42">
        <v>0.91963717</v>
      </c>
      <c r="AD59" s="42">
        <v>1.41930314</v>
      </c>
      <c r="AE59" s="42">
        <v>1.0642217300000001</v>
      </c>
      <c r="AF59" s="42">
        <v>0.39147140000000002</v>
      </c>
      <c r="AG59" s="42">
        <v>0</v>
      </c>
      <c r="AH59" s="42">
        <v>0</v>
      </c>
      <c r="AI59" s="42">
        <v>0</v>
      </c>
      <c r="AJ59" s="42">
        <v>1.84562548</v>
      </c>
      <c r="AK59" s="42">
        <v>5.4158280100000002</v>
      </c>
      <c r="AL59" s="42">
        <v>6.0277801499999999</v>
      </c>
      <c r="AM59" s="42">
        <v>15.46973489</v>
      </c>
      <c r="AN59" s="42">
        <v>20.189953630000002</v>
      </c>
      <c r="AO59" s="42">
        <v>24.807232299999999</v>
      </c>
      <c r="AP59" s="42">
        <v>7.3902518099999996</v>
      </c>
      <c r="AQ59" s="42">
        <v>6.53600271</v>
      </c>
      <c r="AR59" s="42">
        <v>0.28565237999999998</v>
      </c>
      <c r="AS59" s="42">
        <v>0.53638532999999999</v>
      </c>
      <c r="AT59" s="42">
        <v>0.39438025999999998</v>
      </c>
      <c r="AU59" s="42">
        <v>0.10806554</v>
      </c>
      <c r="AV59" s="42">
        <v>0.75233585999999997</v>
      </c>
      <c r="AW59" s="42">
        <v>1.7864842299999999</v>
      </c>
      <c r="AX59" s="42">
        <v>4.1518524599999997</v>
      </c>
      <c r="AY59" s="42">
        <v>4.7188530499999999</v>
      </c>
      <c r="AZ59" s="42">
        <v>22.124807260000001</v>
      </c>
      <c r="BA59" s="42">
        <v>6.2776768900000004</v>
      </c>
      <c r="BB59" s="42">
        <v>3.6825946900000002</v>
      </c>
      <c r="BC59" s="42">
        <v>6.0827966299999998</v>
      </c>
      <c r="BD59" s="42">
        <v>6.1027036499999996</v>
      </c>
      <c r="BE59" s="42">
        <v>5.4660763899999996</v>
      </c>
      <c r="BF59" s="42">
        <v>11.71618726</v>
      </c>
      <c r="BG59" s="42">
        <v>9.3176737799999998</v>
      </c>
      <c r="BH59" s="42">
        <v>19.486329269999999</v>
      </c>
      <c r="BI59" s="42">
        <v>12.521626019999999</v>
      </c>
      <c r="BJ59" s="42">
        <v>13.628600970000001</v>
      </c>
      <c r="BK59" s="42">
        <v>3.3812916</v>
      </c>
      <c r="BL59" s="42">
        <v>1.94169539</v>
      </c>
      <c r="BM59" s="42">
        <v>1.59559484</v>
      </c>
      <c r="BN59" s="42">
        <v>6.7915050099999998</v>
      </c>
      <c r="BO59" s="42">
        <v>8.6022225199999998</v>
      </c>
      <c r="BP59" s="42">
        <v>10.349277219999999</v>
      </c>
      <c r="BQ59" s="42">
        <v>17.171045629999998</v>
      </c>
      <c r="BR59" s="42">
        <v>21.941154610000002</v>
      </c>
      <c r="BS59" s="42">
        <v>36.466564529999999</v>
      </c>
      <c r="BT59" s="42">
        <v>72.861140340000006</v>
      </c>
      <c r="BU59" s="42">
        <v>30.711293619999999</v>
      </c>
      <c r="BV59" s="42">
        <v>20.730980880000001</v>
      </c>
      <c r="BW59" s="42">
        <v>11.69196103</v>
      </c>
      <c r="BX59" s="42">
        <v>17.641860619999999</v>
      </c>
      <c r="BY59" s="42">
        <v>17.07102076</v>
      </c>
      <c r="BZ59" s="42">
        <v>8.3140053599999995</v>
      </c>
      <c r="CA59" s="42">
        <v>16.621466000000002</v>
      </c>
      <c r="CB59" s="42">
        <v>16.884005139999999</v>
      </c>
      <c r="CC59" s="42">
        <v>10.823418650000001</v>
      </c>
      <c r="CD59" s="42">
        <v>6.4065605000000003</v>
      </c>
      <c r="CE59" s="42">
        <v>1.6473560700000001</v>
      </c>
      <c r="CF59" s="42">
        <v>11.91699152</v>
      </c>
      <c r="CG59" s="42">
        <v>22.55722381</v>
      </c>
      <c r="CH59" s="42">
        <v>10.013051949999999</v>
      </c>
      <c r="CI59" s="42">
        <v>8.6136423400000002</v>
      </c>
      <c r="CJ59" s="42">
        <v>7.9901403499999999</v>
      </c>
      <c r="CK59" s="42">
        <v>3.4548353700000001</v>
      </c>
      <c r="CL59" s="42">
        <v>4.1139449600000004</v>
      </c>
      <c r="CM59" s="42">
        <v>3.0277574600000001</v>
      </c>
      <c r="CN59" s="42">
        <v>2.38717742</v>
      </c>
      <c r="CO59" s="42">
        <v>2.9042760099999998</v>
      </c>
      <c r="CP59" s="42">
        <v>1.1060626899999999</v>
      </c>
      <c r="CQ59" s="42">
        <v>3.1214321599999999</v>
      </c>
      <c r="CR59" s="42">
        <v>2.3196238400000002</v>
      </c>
      <c r="CS59" s="42">
        <v>3.4750042300000001</v>
      </c>
      <c r="CT59" s="42">
        <v>5.2470501900000004</v>
      </c>
      <c r="CU59" s="42">
        <v>13.5939303</v>
      </c>
      <c r="CV59" s="42">
        <v>17.36907033</v>
      </c>
      <c r="CW59" s="42">
        <v>5.0666312600000003</v>
      </c>
      <c r="CX59" s="42">
        <v>2.8929796400000001</v>
      </c>
      <c r="CY59" s="42">
        <v>2.3164859199999999</v>
      </c>
      <c r="CZ59" s="42">
        <v>2.78748102</v>
      </c>
      <c r="DA59" s="42">
        <v>2.2173590600000002</v>
      </c>
      <c r="DB59" s="42">
        <v>3.4602677900000001</v>
      </c>
      <c r="DC59" s="42">
        <v>3.1336265499999998</v>
      </c>
      <c r="DD59" s="42">
        <v>2.7331794700000001</v>
      </c>
      <c r="DE59" s="42">
        <v>1.0412639699999999</v>
      </c>
      <c r="DF59" s="42">
        <v>1.05191419</v>
      </c>
      <c r="DG59" s="42">
        <v>23.46521327</v>
      </c>
    </row>
    <row r="60" spans="1:112" s="30" customFormat="1" x14ac:dyDescent="0.3">
      <c r="A60" s="31" t="s">
        <v>26</v>
      </c>
      <c r="B60" s="25">
        <v>0</v>
      </c>
      <c r="C60" s="25">
        <v>0</v>
      </c>
      <c r="D60" s="25">
        <v>0</v>
      </c>
      <c r="E60" s="25">
        <v>0</v>
      </c>
      <c r="F60" s="25">
        <v>0</v>
      </c>
      <c r="G60" s="25">
        <v>0</v>
      </c>
      <c r="H60" s="25">
        <v>0</v>
      </c>
      <c r="I60" s="187">
        <v>0</v>
      </c>
      <c r="J60" s="32">
        <v>0</v>
      </c>
      <c r="K60" s="32">
        <v>0</v>
      </c>
      <c r="L60" s="32">
        <v>0</v>
      </c>
      <c r="M60" s="29">
        <v>0</v>
      </c>
      <c r="N60" s="29">
        <v>0</v>
      </c>
      <c r="O60" s="28">
        <v>0</v>
      </c>
      <c r="P60" s="28">
        <v>0</v>
      </c>
      <c r="Q60" s="28">
        <v>0</v>
      </c>
      <c r="R60" s="28">
        <v>0</v>
      </c>
      <c r="S60" s="28">
        <v>0</v>
      </c>
      <c r="T60" s="28">
        <v>0</v>
      </c>
      <c r="U60" s="28">
        <v>0</v>
      </c>
      <c r="V60" s="28">
        <v>0</v>
      </c>
      <c r="W60" s="28">
        <v>0</v>
      </c>
      <c r="X60" s="28">
        <v>0</v>
      </c>
      <c r="Y60" s="28">
        <v>0</v>
      </c>
      <c r="Z60" s="28">
        <v>0</v>
      </c>
      <c r="AA60" s="28">
        <v>0</v>
      </c>
      <c r="AB60" s="28">
        <v>0</v>
      </c>
      <c r="AC60" s="28">
        <v>0</v>
      </c>
      <c r="AD60" s="28">
        <v>0</v>
      </c>
      <c r="AE60" s="28">
        <v>0</v>
      </c>
      <c r="AF60" s="28">
        <v>0</v>
      </c>
      <c r="AG60" s="28">
        <v>0</v>
      </c>
      <c r="AH60" s="28">
        <v>0</v>
      </c>
      <c r="AI60" s="28">
        <v>0</v>
      </c>
      <c r="AJ60" s="28">
        <v>0</v>
      </c>
      <c r="AK60" s="28">
        <v>0</v>
      </c>
      <c r="AL60" s="28">
        <v>0</v>
      </c>
      <c r="AM60" s="28">
        <v>0</v>
      </c>
      <c r="AN60" s="28">
        <v>0</v>
      </c>
      <c r="AO60" s="28">
        <v>0</v>
      </c>
      <c r="AP60" s="28">
        <v>0</v>
      </c>
      <c r="AQ60" s="28">
        <v>0</v>
      </c>
      <c r="AR60" s="28">
        <v>0</v>
      </c>
      <c r="AS60" s="28">
        <v>0</v>
      </c>
      <c r="AT60" s="28">
        <v>0</v>
      </c>
      <c r="AU60" s="28">
        <v>0</v>
      </c>
      <c r="AV60" s="28">
        <v>0</v>
      </c>
      <c r="AW60" s="28">
        <v>0</v>
      </c>
      <c r="AX60" s="28">
        <v>0</v>
      </c>
      <c r="AY60" s="28">
        <v>0</v>
      </c>
      <c r="AZ60" s="28">
        <v>0</v>
      </c>
      <c r="BA60" s="28">
        <v>0</v>
      </c>
      <c r="BB60" s="28">
        <v>0</v>
      </c>
      <c r="BC60" s="28">
        <v>0</v>
      </c>
      <c r="BD60" s="28">
        <v>0</v>
      </c>
      <c r="BE60" s="28">
        <v>0</v>
      </c>
      <c r="BF60" s="28">
        <v>0</v>
      </c>
      <c r="BG60" s="28">
        <v>0</v>
      </c>
      <c r="BH60" s="28">
        <v>0</v>
      </c>
      <c r="BI60" s="28">
        <v>0</v>
      </c>
      <c r="BJ60" s="28">
        <v>0</v>
      </c>
      <c r="BK60" s="28">
        <v>0</v>
      </c>
      <c r="BL60" s="28">
        <v>0</v>
      </c>
      <c r="BM60" s="28">
        <v>0</v>
      </c>
      <c r="BN60" s="28">
        <v>0</v>
      </c>
      <c r="BO60" s="28">
        <v>0</v>
      </c>
      <c r="BP60" s="28">
        <v>0</v>
      </c>
      <c r="BQ60" s="28">
        <v>0</v>
      </c>
      <c r="BR60" s="28">
        <v>0</v>
      </c>
      <c r="BS60" s="28">
        <v>0</v>
      </c>
      <c r="BT60" s="28">
        <v>0</v>
      </c>
      <c r="BU60" s="28">
        <v>0</v>
      </c>
      <c r="BV60" s="28">
        <v>0</v>
      </c>
      <c r="BW60" s="28">
        <v>0</v>
      </c>
      <c r="BX60" s="28">
        <v>0</v>
      </c>
      <c r="BY60" s="28">
        <v>0</v>
      </c>
      <c r="BZ60" s="28">
        <v>0</v>
      </c>
      <c r="CA60" s="28">
        <v>0</v>
      </c>
      <c r="CB60" s="28">
        <v>0</v>
      </c>
      <c r="CC60" s="28">
        <v>0</v>
      </c>
      <c r="CD60" s="28">
        <v>0</v>
      </c>
      <c r="CE60" s="28">
        <v>0</v>
      </c>
      <c r="CF60" s="28">
        <v>0</v>
      </c>
      <c r="CG60" s="28">
        <v>0</v>
      </c>
      <c r="CH60" s="28">
        <v>0</v>
      </c>
      <c r="CI60" s="28">
        <v>0</v>
      </c>
      <c r="CJ60" s="28">
        <v>0</v>
      </c>
      <c r="CK60" s="28">
        <v>0</v>
      </c>
      <c r="CL60" s="28">
        <v>0</v>
      </c>
      <c r="CM60" s="28">
        <v>0</v>
      </c>
      <c r="CN60" s="28">
        <v>0</v>
      </c>
      <c r="CO60" s="28">
        <v>0</v>
      </c>
      <c r="CP60" s="28">
        <v>0</v>
      </c>
      <c r="CQ60" s="28">
        <v>0</v>
      </c>
      <c r="CR60" s="28">
        <v>0</v>
      </c>
      <c r="CS60" s="28">
        <v>0</v>
      </c>
      <c r="CT60" s="28">
        <v>0</v>
      </c>
      <c r="CU60" s="28">
        <v>0</v>
      </c>
      <c r="CV60" s="28">
        <v>0</v>
      </c>
      <c r="CW60" s="28">
        <v>0</v>
      </c>
      <c r="CX60" s="28">
        <v>0</v>
      </c>
      <c r="CY60" s="28">
        <v>0</v>
      </c>
      <c r="CZ60" s="28">
        <v>0</v>
      </c>
      <c r="DA60" s="28">
        <v>0</v>
      </c>
      <c r="DB60" s="28">
        <v>3.3870732600000002</v>
      </c>
      <c r="DC60" s="28">
        <v>2.81354002</v>
      </c>
      <c r="DD60" s="28">
        <v>2.3070293099999999</v>
      </c>
      <c r="DE60" s="28">
        <v>1.0412639699999999</v>
      </c>
      <c r="DF60" s="28">
        <v>0</v>
      </c>
      <c r="DG60" s="28">
        <v>0</v>
      </c>
    </row>
    <row r="61" spans="1:112" s="40" customFormat="1" x14ac:dyDescent="0.3">
      <c r="A61" s="33" t="s">
        <v>27</v>
      </c>
      <c r="B61" s="34">
        <f t="shared" ref="B61:I61" si="13">IFERROR(100*(B60/B59),0)</f>
        <v>0</v>
      </c>
      <c r="C61" s="34">
        <f t="shared" si="13"/>
        <v>0</v>
      </c>
      <c r="D61" s="34">
        <f t="shared" si="13"/>
        <v>0</v>
      </c>
      <c r="E61" s="34">
        <f t="shared" si="13"/>
        <v>0</v>
      </c>
      <c r="F61" s="34">
        <f t="shared" si="13"/>
        <v>0</v>
      </c>
      <c r="G61" s="34">
        <f t="shared" si="13"/>
        <v>0</v>
      </c>
      <c r="H61" s="34">
        <f t="shared" si="13"/>
        <v>0</v>
      </c>
      <c r="I61" s="36">
        <f t="shared" si="13"/>
        <v>0</v>
      </c>
      <c r="J61" s="37">
        <v>0</v>
      </c>
      <c r="K61" s="37">
        <v>0</v>
      </c>
      <c r="L61" s="37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v>0</v>
      </c>
      <c r="AI61" s="39">
        <v>0</v>
      </c>
      <c r="AJ61" s="39">
        <v>0</v>
      </c>
      <c r="AK61" s="39">
        <v>0</v>
      </c>
      <c r="AL61" s="39">
        <v>0</v>
      </c>
      <c r="AM61" s="39">
        <v>0</v>
      </c>
      <c r="AN61" s="39">
        <v>0</v>
      </c>
      <c r="AO61" s="39">
        <v>0</v>
      </c>
      <c r="AP61" s="39">
        <v>0</v>
      </c>
      <c r="AQ61" s="39">
        <v>0</v>
      </c>
      <c r="AR61" s="39">
        <v>0</v>
      </c>
      <c r="AS61" s="39">
        <v>0</v>
      </c>
      <c r="AT61" s="39">
        <v>0</v>
      </c>
      <c r="AU61" s="39">
        <v>0</v>
      </c>
      <c r="AV61" s="39">
        <v>0</v>
      </c>
      <c r="AW61" s="39">
        <v>0</v>
      </c>
      <c r="AX61" s="39">
        <v>0</v>
      </c>
      <c r="AY61" s="39">
        <v>0</v>
      </c>
      <c r="AZ61" s="39">
        <v>0</v>
      </c>
      <c r="BA61" s="39">
        <v>0</v>
      </c>
      <c r="BB61" s="39">
        <v>0</v>
      </c>
      <c r="BC61" s="39">
        <v>0</v>
      </c>
      <c r="BD61" s="39">
        <v>0</v>
      </c>
      <c r="BE61" s="39">
        <v>0</v>
      </c>
      <c r="BF61" s="39">
        <v>0</v>
      </c>
      <c r="BG61" s="39">
        <v>0</v>
      </c>
      <c r="BH61" s="39">
        <v>0</v>
      </c>
      <c r="BI61" s="39">
        <v>0</v>
      </c>
      <c r="BJ61" s="39">
        <v>0</v>
      </c>
      <c r="BK61" s="39">
        <v>0</v>
      </c>
      <c r="BL61" s="39">
        <v>0</v>
      </c>
      <c r="BM61" s="39">
        <v>0</v>
      </c>
      <c r="BN61" s="39">
        <v>0</v>
      </c>
      <c r="BO61" s="39">
        <v>0</v>
      </c>
      <c r="BP61" s="39">
        <v>0</v>
      </c>
      <c r="BQ61" s="39">
        <v>0</v>
      </c>
      <c r="BR61" s="39">
        <v>0</v>
      </c>
      <c r="BS61" s="39">
        <v>0</v>
      </c>
      <c r="BT61" s="39">
        <v>0</v>
      </c>
      <c r="BU61" s="39">
        <v>0</v>
      </c>
      <c r="BV61" s="39">
        <v>0</v>
      </c>
      <c r="BW61" s="39">
        <v>0</v>
      </c>
      <c r="BX61" s="39">
        <v>0</v>
      </c>
      <c r="BY61" s="39">
        <v>0</v>
      </c>
      <c r="BZ61" s="39">
        <v>0</v>
      </c>
      <c r="CA61" s="39">
        <v>0</v>
      </c>
      <c r="CB61" s="39">
        <v>0</v>
      </c>
      <c r="CC61" s="39">
        <v>0</v>
      </c>
      <c r="CD61" s="39">
        <v>0</v>
      </c>
      <c r="CE61" s="39">
        <v>0</v>
      </c>
      <c r="CF61" s="39">
        <v>0</v>
      </c>
      <c r="CG61" s="39">
        <v>0</v>
      </c>
      <c r="CH61" s="39">
        <v>0</v>
      </c>
      <c r="CI61" s="39">
        <v>0</v>
      </c>
      <c r="CJ61" s="39">
        <v>0</v>
      </c>
      <c r="CK61" s="39">
        <v>0</v>
      </c>
      <c r="CL61" s="39">
        <v>0</v>
      </c>
      <c r="CM61" s="39">
        <v>0</v>
      </c>
      <c r="CN61" s="39">
        <v>0</v>
      </c>
      <c r="CO61" s="39">
        <v>0</v>
      </c>
      <c r="CP61" s="39">
        <v>0</v>
      </c>
      <c r="CQ61" s="39">
        <v>0</v>
      </c>
      <c r="CR61" s="39">
        <v>0</v>
      </c>
      <c r="CS61" s="39">
        <v>0</v>
      </c>
      <c r="CT61" s="39">
        <v>0</v>
      </c>
      <c r="CU61" s="39">
        <v>0</v>
      </c>
      <c r="CV61" s="39">
        <v>0</v>
      </c>
      <c r="CW61" s="39">
        <v>0</v>
      </c>
      <c r="CX61" s="39">
        <v>0</v>
      </c>
      <c r="CY61" s="39">
        <v>0</v>
      </c>
      <c r="CZ61" s="39">
        <v>0</v>
      </c>
      <c r="DA61" s="39">
        <v>0</v>
      </c>
      <c r="DB61" s="39">
        <v>97.884714870579401</v>
      </c>
      <c r="DC61" s="39">
        <v>89.785428324252607</v>
      </c>
      <c r="DD61" s="39">
        <v>84.408262806101007</v>
      </c>
      <c r="DE61" s="39">
        <v>100</v>
      </c>
      <c r="DF61" s="39">
        <v>0</v>
      </c>
      <c r="DG61" s="39">
        <v>0</v>
      </c>
    </row>
    <row r="62" spans="1:112" x14ac:dyDescent="0.3">
      <c r="B62" s="2"/>
      <c r="C62" s="2"/>
      <c r="D62" s="2"/>
      <c r="E62" s="122"/>
      <c r="F62" s="2"/>
      <c r="G62" s="2"/>
      <c r="H62" s="2"/>
      <c r="I62" s="122"/>
      <c r="J62" s="102"/>
      <c r="K62" s="102"/>
      <c r="L62" s="102"/>
      <c r="DH62" s="98"/>
    </row>
    <row r="63" spans="1:112" s="55" customFormat="1" ht="28.8" x14ac:dyDescent="0.3">
      <c r="A63" s="123" t="s">
        <v>33</v>
      </c>
      <c r="B63" s="124">
        <f t="shared" ref="B63:I63" si="14">B66-B64</f>
        <v>501967.34549910919</v>
      </c>
      <c r="C63" s="124">
        <f t="shared" si="14"/>
        <v>753714.26262060227</v>
      </c>
      <c r="D63" s="124">
        <f t="shared" si="14"/>
        <v>747720.87888157298</v>
      </c>
      <c r="E63" s="124">
        <f t="shared" si="14"/>
        <v>728549.37550472922</v>
      </c>
      <c r="F63" s="124">
        <f t="shared" si="14"/>
        <v>725395.35892594175</v>
      </c>
      <c r="G63" s="124">
        <f t="shared" si="14"/>
        <v>716861.37841033947</v>
      </c>
      <c r="H63" s="124">
        <f t="shared" si="14"/>
        <v>710648.29921034118</v>
      </c>
      <c r="I63" s="195">
        <f t="shared" si="14"/>
        <v>704472.48946514912</v>
      </c>
      <c r="J63" s="124">
        <v>727682.91948338901</v>
      </c>
      <c r="K63" s="124">
        <v>720872.77610684</v>
      </c>
      <c r="L63" s="124">
        <v>717372.29309814004</v>
      </c>
      <c r="M63" s="164">
        <v>736733.13220264995</v>
      </c>
      <c r="N63" s="164">
        <v>760909.28036532004</v>
      </c>
      <c r="O63" s="164">
        <v>740925.63938574004</v>
      </c>
      <c r="P63" s="164">
        <v>742371.89217727003</v>
      </c>
      <c r="Q63" s="164">
        <v>735367.17837119999</v>
      </c>
      <c r="R63" s="164">
        <v>734494.47105684003</v>
      </c>
      <c r="S63" s="164">
        <v>737544.61696804001</v>
      </c>
      <c r="T63" s="164">
        <v>755398.40692995</v>
      </c>
      <c r="U63" s="164">
        <v>809912.16264617001</v>
      </c>
      <c r="V63" s="164">
        <v>825348.28306650999</v>
      </c>
      <c r="W63" s="164">
        <v>818368.86738499999</v>
      </c>
      <c r="X63" s="164">
        <v>807085.71143352997</v>
      </c>
      <c r="Y63" s="164">
        <v>775280.75332416</v>
      </c>
      <c r="Z63" s="164">
        <v>771107.70968812006</v>
      </c>
      <c r="AA63" s="164">
        <v>751491.80451384</v>
      </c>
      <c r="AB63" s="164">
        <v>741200.74085177004</v>
      </c>
      <c r="AC63" s="164">
        <v>719582.97517476999</v>
      </c>
      <c r="AD63" s="164">
        <v>726021.76716121996</v>
      </c>
      <c r="AE63" s="164">
        <v>724929.68079055997</v>
      </c>
      <c r="AF63" s="164">
        <v>734908.31580725999</v>
      </c>
      <c r="AG63" s="164">
        <v>732236.42874368001</v>
      </c>
      <c r="AH63" s="164">
        <v>695392.01059671002</v>
      </c>
      <c r="AI63" s="164">
        <v>717947.96093901002</v>
      </c>
      <c r="AJ63" s="164">
        <v>705571.62896495999</v>
      </c>
      <c r="AK63" s="164">
        <v>703784.08504677995</v>
      </c>
      <c r="AL63" s="164">
        <v>749108.64611437998</v>
      </c>
      <c r="AM63" s="164">
        <v>734102.90004891995</v>
      </c>
      <c r="AN63" s="164">
        <v>832333.77668370004</v>
      </c>
      <c r="AO63" s="164">
        <v>788323.87339887</v>
      </c>
      <c r="AP63" s="164">
        <v>790189.98261662002</v>
      </c>
      <c r="AQ63" s="164">
        <v>767762.90240351995</v>
      </c>
      <c r="AR63" s="164">
        <v>819108.51024136995</v>
      </c>
      <c r="AS63" s="164">
        <v>809389.24331669998</v>
      </c>
      <c r="AT63" s="164">
        <v>801484.68656982004</v>
      </c>
      <c r="AU63" s="164">
        <v>784651.4995417</v>
      </c>
      <c r="AV63" s="164">
        <v>758386.12654761004</v>
      </c>
      <c r="AW63" s="164">
        <v>724761.53118458996</v>
      </c>
      <c r="AX63" s="164">
        <v>727399.41417082003</v>
      </c>
      <c r="AY63" s="164">
        <v>715273.94069075002</v>
      </c>
      <c r="AZ63" s="164">
        <v>720284.52543223999</v>
      </c>
      <c r="BA63" s="164">
        <v>727118.04101788998</v>
      </c>
      <c r="BB63" s="164">
        <v>715975.36086738005</v>
      </c>
      <c r="BC63" s="164">
        <v>701053.62828375003</v>
      </c>
      <c r="BD63" s="164">
        <v>697789.17659628997</v>
      </c>
      <c r="BE63" s="164">
        <v>701098.02719646005</v>
      </c>
      <c r="BF63" s="164">
        <v>685216.83571360004</v>
      </c>
      <c r="BG63" s="164">
        <v>669779.01992104005</v>
      </c>
      <c r="BH63" s="164">
        <v>675618.98641646001</v>
      </c>
      <c r="BI63" s="164">
        <v>659828.91241892998</v>
      </c>
      <c r="BJ63" s="164">
        <v>687818.97740990994</v>
      </c>
      <c r="BK63" s="164">
        <v>626418.10315785103</v>
      </c>
      <c r="BL63" s="164">
        <v>592907.22928274004</v>
      </c>
      <c r="BM63" s="164">
        <v>598735.53615712002</v>
      </c>
      <c r="BN63" s="164">
        <v>601257.57825309003</v>
      </c>
      <c r="BO63" s="164">
        <v>640535.46864513995</v>
      </c>
      <c r="BP63" s="164">
        <v>795828.67154291004</v>
      </c>
      <c r="BQ63" s="164">
        <v>775103.67943923001</v>
      </c>
      <c r="BR63" s="164">
        <v>777198.70722883998</v>
      </c>
      <c r="BS63" s="164">
        <v>807022.43114131002</v>
      </c>
      <c r="BT63" s="164">
        <v>808027.25437084003</v>
      </c>
      <c r="BU63" s="164">
        <v>806453.01377561002</v>
      </c>
      <c r="BV63" s="164">
        <v>842109.41215597</v>
      </c>
      <c r="BW63" s="164">
        <v>844363.50132875994</v>
      </c>
      <c r="BX63" s="164">
        <v>855322.15745019994</v>
      </c>
      <c r="BY63" s="164">
        <v>851813.84928222001</v>
      </c>
      <c r="BZ63" s="164">
        <v>841981.52837458998</v>
      </c>
      <c r="CA63" s="164">
        <v>849259.96136048995</v>
      </c>
      <c r="CB63" s="164">
        <v>850088.61310435995</v>
      </c>
      <c r="CC63" s="164">
        <v>852507.48634182999</v>
      </c>
      <c r="CD63" s="164">
        <v>841178.68152532005</v>
      </c>
      <c r="CE63" s="164">
        <v>858689.23853278998</v>
      </c>
      <c r="CF63" s="164">
        <v>858475.70302915003</v>
      </c>
      <c r="CG63" s="164">
        <v>907725.79762654996</v>
      </c>
      <c r="CH63" s="164">
        <v>892941.95269658999</v>
      </c>
      <c r="CI63" s="164">
        <v>898728.00387321995</v>
      </c>
      <c r="CJ63" s="164">
        <v>924678.53091019997</v>
      </c>
      <c r="CK63" s="164">
        <v>940945.63216323999</v>
      </c>
      <c r="CL63" s="164">
        <v>969768.02560543001</v>
      </c>
      <c r="CM63" s="164">
        <v>966195.55753244995</v>
      </c>
      <c r="CN63" s="164">
        <v>982445.12550293002</v>
      </c>
      <c r="CO63" s="164">
        <v>997079.74686596997</v>
      </c>
      <c r="CP63" s="164">
        <v>991426.19545014994</v>
      </c>
      <c r="CQ63" s="164">
        <v>1000235.36863956</v>
      </c>
      <c r="CR63" s="164">
        <v>1003327.56935128</v>
      </c>
      <c r="CS63" s="164">
        <v>1015249.05601349</v>
      </c>
      <c r="CT63" s="164">
        <v>1022022.80491862</v>
      </c>
      <c r="CU63" s="164">
        <v>992609.99441756005</v>
      </c>
      <c r="CV63" s="164">
        <v>991760.65779755998</v>
      </c>
      <c r="CW63" s="164">
        <v>1004560.15314622</v>
      </c>
      <c r="CX63" s="164">
        <v>994762.49786236999</v>
      </c>
      <c r="CY63" s="164">
        <v>1010252.2562439</v>
      </c>
      <c r="CZ63" s="164">
        <v>1028190.5845667199</v>
      </c>
      <c r="DA63" s="164">
        <v>1035523.63833566</v>
      </c>
      <c r="DB63" s="164">
        <v>1022281.9446513799</v>
      </c>
      <c r="DC63" s="164">
        <v>1041980.29328657</v>
      </c>
      <c r="DD63" s="164">
        <v>1030493.03793616</v>
      </c>
      <c r="DE63" s="164">
        <v>1032766.50269844</v>
      </c>
      <c r="DF63" s="164">
        <v>1062980.1765564701</v>
      </c>
      <c r="DG63" s="164">
        <v>1075678.44479731</v>
      </c>
    </row>
    <row r="64" spans="1:112" s="30" customFormat="1" x14ac:dyDescent="0.3">
      <c r="A64" s="126" t="s">
        <v>34</v>
      </c>
      <c r="B64" s="127">
        <v>15396.641324760891</v>
      </c>
      <c r="C64" s="127">
        <v>16805.941795587416</v>
      </c>
      <c r="D64" s="127">
        <v>17637.941698627117</v>
      </c>
      <c r="E64" s="127">
        <v>21197.902456940508</v>
      </c>
      <c r="F64" s="127">
        <v>23492.527676508755</v>
      </c>
      <c r="G64" s="127">
        <v>21668.792941049993</v>
      </c>
      <c r="H64" s="127">
        <v>22348.742263149241</v>
      </c>
      <c r="I64" s="196">
        <v>18586.426722101151</v>
      </c>
      <c r="J64" s="127">
        <v>19108.91145592145</v>
      </c>
      <c r="K64" s="127">
        <v>19477.8039494</v>
      </c>
      <c r="L64" s="127">
        <v>20897.442367560001</v>
      </c>
      <c r="M64" s="128">
        <v>22840.001573570102</v>
      </c>
      <c r="N64" s="128">
        <v>17076.803717809798</v>
      </c>
      <c r="O64" s="128">
        <v>13151.4456167398</v>
      </c>
      <c r="P64" s="128">
        <v>10685.0146104099</v>
      </c>
      <c r="Q64" s="128">
        <v>13452.7623770601</v>
      </c>
      <c r="R64" s="128">
        <v>12501.59146412</v>
      </c>
      <c r="S64" s="128">
        <v>12479.2979222701</v>
      </c>
      <c r="T64" s="128">
        <v>8595.6971020799792</v>
      </c>
      <c r="U64" s="128">
        <v>16528.143552760001</v>
      </c>
      <c r="V64" s="128">
        <v>9729.2537022100296</v>
      </c>
      <c r="W64" s="128">
        <v>7257.1916427798596</v>
      </c>
      <c r="X64" s="128">
        <v>10584.38137696</v>
      </c>
      <c r="Y64" s="128">
        <v>7283.7992709500204</v>
      </c>
      <c r="Z64" s="128">
        <v>10158.154790189899</v>
      </c>
      <c r="AA64" s="128">
        <v>7830.4955963600696</v>
      </c>
      <c r="AB64" s="128">
        <v>7183.7597473297501</v>
      </c>
      <c r="AC64" s="128">
        <v>11390.139404559999</v>
      </c>
      <c r="AD64" s="128">
        <v>9575.2669063799494</v>
      </c>
      <c r="AE64" s="128">
        <v>11502.1723919001</v>
      </c>
      <c r="AF64" s="128">
        <v>10136.3485628698</v>
      </c>
      <c r="AG64" s="128">
        <v>10055.19300092</v>
      </c>
      <c r="AH64" s="128">
        <v>11183.19422379</v>
      </c>
      <c r="AI64" s="128">
        <v>12315.35669262</v>
      </c>
      <c r="AJ64" s="128">
        <v>8703.1743770700396</v>
      </c>
      <c r="AK64" s="128">
        <v>13638.119527069901</v>
      </c>
      <c r="AL64" s="128">
        <v>12056.970890430201</v>
      </c>
      <c r="AM64" s="128">
        <v>12976.4486359201</v>
      </c>
      <c r="AN64" s="128">
        <v>23069.737368469901</v>
      </c>
      <c r="AO64" s="128">
        <v>19499.04626626</v>
      </c>
      <c r="AP64" s="128">
        <v>18291.671449299902</v>
      </c>
      <c r="AQ64" s="128">
        <v>19030.8442992901</v>
      </c>
      <c r="AR64" s="128">
        <v>20394.378822370101</v>
      </c>
      <c r="AS64" s="128">
        <v>21002.76174872</v>
      </c>
      <c r="AT64" s="128">
        <v>16443.667035449798</v>
      </c>
      <c r="AU64" s="128">
        <v>12456.888836710201</v>
      </c>
      <c r="AV64" s="128">
        <v>15712.4131415099</v>
      </c>
      <c r="AW64" s="128">
        <v>21342.811664749999</v>
      </c>
      <c r="AX64" s="128">
        <v>15765.125056409999</v>
      </c>
      <c r="AY64" s="128">
        <v>18602.9668012199</v>
      </c>
      <c r="AZ64" s="128">
        <v>19771.0067338101</v>
      </c>
      <c r="BA64" s="128">
        <v>20541.422405189998</v>
      </c>
      <c r="BB64" s="128">
        <v>20356.1806240601</v>
      </c>
      <c r="BC64" s="128">
        <v>18051.407931599999</v>
      </c>
      <c r="BD64" s="128">
        <v>16195.211619449899</v>
      </c>
      <c r="BE64" s="128">
        <v>17016.7554627301</v>
      </c>
      <c r="BF64" s="128">
        <v>17260.777129779999</v>
      </c>
      <c r="BG64" s="128">
        <v>17140.44767238</v>
      </c>
      <c r="BH64" s="128">
        <v>15832.941263929901</v>
      </c>
      <c r="BI64" s="128">
        <v>19591.081392439901</v>
      </c>
      <c r="BJ64" s="128">
        <v>22736.9356476498</v>
      </c>
      <c r="BK64" s="128">
        <v>24074.507350489228</v>
      </c>
      <c r="BL64" s="128">
        <v>25131.342146260002</v>
      </c>
      <c r="BM64" s="128">
        <v>19474.437922630001</v>
      </c>
      <c r="BN64" s="128">
        <v>13429.6429446399</v>
      </c>
      <c r="BO64" s="128">
        <v>10646.2828912601</v>
      </c>
      <c r="BP64" s="128">
        <v>13346.9277233799</v>
      </c>
      <c r="BQ64" s="128">
        <v>7452.7604597099098</v>
      </c>
      <c r="BR64" s="128">
        <v>21439.899124219901</v>
      </c>
      <c r="BS64" s="128">
        <v>17724.923264080098</v>
      </c>
      <c r="BT64" s="128">
        <v>17547.781203430099</v>
      </c>
      <c r="BU64" s="128">
        <v>12883.4580402999</v>
      </c>
      <c r="BV64" s="128">
        <v>16170.775987749899</v>
      </c>
      <c r="BW64" s="128">
        <v>20646.47094164</v>
      </c>
      <c r="BX64" s="128">
        <v>16105.34411905</v>
      </c>
      <c r="BY64" s="128">
        <v>17735.699624939902</v>
      </c>
      <c r="BZ64" s="128">
        <v>14090.380542520101</v>
      </c>
      <c r="CA64" s="128">
        <v>16030.7603249899</v>
      </c>
      <c r="CB64" s="128">
        <v>14143.6968085801</v>
      </c>
      <c r="CC64" s="128">
        <v>10380.154071270301</v>
      </c>
      <c r="CD64" s="128">
        <v>9012.7142464799108</v>
      </c>
      <c r="CE64" s="128">
        <v>12310.55841571</v>
      </c>
      <c r="CF64" s="128">
        <v>15340.606300059901</v>
      </c>
      <c r="CG64" s="128">
        <v>15052.570742559999</v>
      </c>
      <c r="CH64" s="128">
        <v>29725.698358699799</v>
      </c>
      <c r="CI64" s="128">
        <v>23241.76232962</v>
      </c>
      <c r="CJ64" s="128">
        <v>21628.7630904301</v>
      </c>
      <c r="CK64" s="128">
        <v>24241.430252059901</v>
      </c>
      <c r="CL64" s="128">
        <v>17568.290011390101</v>
      </c>
      <c r="CM64" s="129">
        <v>25047.694452339802</v>
      </c>
      <c r="CN64" s="129">
        <v>24701.7108956099</v>
      </c>
      <c r="CO64" s="129">
        <v>27264.730546010102</v>
      </c>
      <c r="CP64" s="129">
        <v>31704.307254520001</v>
      </c>
      <c r="CQ64" s="129">
        <v>33925.537344720004</v>
      </c>
      <c r="CR64" s="129">
        <v>30820.4891517301</v>
      </c>
      <c r="CS64" s="129">
        <v>39648.516553889698</v>
      </c>
      <c r="CT64" s="129">
        <v>40176.020425449802</v>
      </c>
      <c r="CU64" s="129">
        <v>35138.955789809901</v>
      </c>
      <c r="CV64" s="129">
        <v>39810.613622319899</v>
      </c>
      <c r="CW64" s="129">
        <v>39494.073441809996</v>
      </c>
      <c r="CX64" s="129">
        <v>41779.684165819999</v>
      </c>
      <c r="CY64" s="129">
        <v>41060.805218820198</v>
      </c>
      <c r="CZ64" s="129">
        <v>39821.407705980098</v>
      </c>
      <c r="DA64" s="129">
        <v>36216.721883950297</v>
      </c>
      <c r="DB64" s="129">
        <v>49011.900717709999</v>
      </c>
      <c r="DC64" s="129">
        <v>41288.357222419902</v>
      </c>
      <c r="DD64" s="129">
        <v>38506.717309149899</v>
      </c>
      <c r="DE64" s="129">
        <v>58246.004742190002</v>
      </c>
      <c r="DF64" s="129">
        <v>46450.833690970001</v>
      </c>
      <c r="DG64" s="129">
        <v>50289.338215550197</v>
      </c>
    </row>
    <row r="65" spans="1:112" x14ac:dyDescent="0.3">
      <c r="A65" s="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197"/>
      <c r="CN65" s="197"/>
      <c r="CO65" s="197"/>
      <c r="CP65" s="197"/>
      <c r="CQ65" s="197"/>
      <c r="CR65" s="197"/>
      <c r="CS65" s="197"/>
      <c r="CT65" s="197"/>
      <c r="CU65" s="197"/>
      <c r="CV65" s="197"/>
      <c r="CW65" s="197"/>
      <c r="CX65" s="197"/>
      <c r="CY65" s="197"/>
      <c r="CZ65" s="197"/>
      <c r="DA65" s="197"/>
      <c r="DB65" s="197"/>
      <c r="DC65" s="197"/>
      <c r="DD65" s="197"/>
      <c r="DE65" s="197"/>
      <c r="DF65" s="197"/>
      <c r="DG65" s="197"/>
    </row>
    <row r="66" spans="1:112" s="55" customFormat="1" x14ac:dyDescent="0.3">
      <c r="A66" s="131" t="s">
        <v>35</v>
      </c>
      <c r="B66" s="51">
        <v>517363.9868238701</v>
      </c>
      <c r="C66" s="51">
        <v>770520.20441618969</v>
      </c>
      <c r="D66" s="51">
        <v>765358.82058020006</v>
      </c>
      <c r="E66" s="51">
        <v>749747.27796166972</v>
      </c>
      <c r="F66" s="51">
        <v>748887.88660245051</v>
      </c>
      <c r="G66" s="51">
        <v>738530.17135138949</v>
      </c>
      <c r="H66" s="51">
        <v>732997.04147349042</v>
      </c>
      <c r="I66" s="198">
        <v>723058.91618725029</v>
      </c>
      <c r="J66" s="51">
        <v>746791.83093931049</v>
      </c>
      <c r="K66" s="51">
        <v>740350.58005623997</v>
      </c>
      <c r="L66" s="51">
        <v>738269.73546570004</v>
      </c>
      <c r="M66" s="50">
        <v>759573.13377622003</v>
      </c>
      <c r="N66" s="50">
        <v>777986.08408313</v>
      </c>
      <c r="O66" s="50">
        <v>754077.08500247996</v>
      </c>
      <c r="P66" s="50">
        <v>753056.90678768</v>
      </c>
      <c r="Q66" s="50">
        <v>748819.94074826001</v>
      </c>
      <c r="R66" s="50">
        <v>746996.06252096</v>
      </c>
      <c r="S66" s="50">
        <v>750023.91489031003</v>
      </c>
      <c r="T66" s="50">
        <v>763994.10403202998</v>
      </c>
      <c r="U66" s="50">
        <v>826440.30619893002</v>
      </c>
      <c r="V66" s="50">
        <v>835077.53676872002</v>
      </c>
      <c r="W66" s="50">
        <v>825626.05902777996</v>
      </c>
      <c r="X66" s="50">
        <v>817670.09281049005</v>
      </c>
      <c r="Y66" s="50">
        <v>782564.55259511003</v>
      </c>
      <c r="Z66" s="50">
        <v>781265.86447830999</v>
      </c>
      <c r="AA66" s="50">
        <v>759322.30011019995</v>
      </c>
      <c r="AB66" s="50">
        <v>748384.50059910002</v>
      </c>
      <c r="AC66" s="50">
        <v>730973.11457932997</v>
      </c>
      <c r="AD66" s="50">
        <v>735597.03406760003</v>
      </c>
      <c r="AE66" s="50">
        <v>736431.85318245995</v>
      </c>
      <c r="AF66" s="50">
        <v>745044.66437013005</v>
      </c>
      <c r="AG66" s="50">
        <v>742291.62174460001</v>
      </c>
      <c r="AH66" s="50">
        <v>706575.20482049999</v>
      </c>
      <c r="AI66" s="50">
        <v>730263.31763162999</v>
      </c>
      <c r="AJ66" s="50">
        <v>714274.80334203003</v>
      </c>
      <c r="AK66" s="50">
        <v>717422.20457385003</v>
      </c>
      <c r="AL66" s="50">
        <v>761165.61700481002</v>
      </c>
      <c r="AM66" s="50">
        <v>747079.34868484002</v>
      </c>
      <c r="AN66" s="50">
        <v>855403.51405216998</v>
      </c>
      <c r="AO66" s="50">
        <v>807822.91966512997</v>
      </c>
      <c r="AP66" s="50">
        <v>808481.65406592004</v>
      </c>
      <c r="AQ66" s="50">
        <v>786793.74670281005</v>
      </c>
      <c r="AR66" s="50">
        <v>839502.88906374003</v>
      </c>
      <c r="AS66" s="50">
        <v>830392.00506541994</v>
      </c>
      <c r="AT66" s="50">
        <v>817928.35360527004</v>
      </c>
      <c r="AU66" s="50">
        <v>797108.38837841002</v>
      </c>
      <c r="AV66" s="50">
        <v>774098.53968912002</v>
      </c>
      <c r="AW66" s="50">
        <v>746104.34284934006</v>
      </c>
      <c r="AX66" s="50">
        <v>743164.53922723001</v>
      </c>
      <c r="AY66" s="50">
        <v>733876.90749196999</v>
      </c>
      <c r="AZ66" s="50">
        <v>740055.53216605005</v>
      </c>
      <c r="BA66" s="50">
        <v>747659.46342308004</v>
      </c>
      <c r="BB66" s="50">
        <v>736331.54149144003</v>
      </c>
      <c r="BC66" s="50">
        <v>719105.03621535003</v>
      </c>
      <c r="BD66" s="50">
        <v>713984.38821573998</v>
      </c>
      <c r="BE66" s="50">
        <v>718114.78265919001</v>
      </c>
      <c r="BF66" s="50">
        <v>702477.61284337996</v>
      </c>
      <c r="BG66" s="50">
        <v>686919.46759341995</v>
      </c>
      <c r="BH66" s="50">
        <v>691451.92768038996</v>
      </c>
      <c r="BI66" s="50">
        <v>679419.99381136999</v>
      </c>
      <c r="BJ66" s="50">
        <v>710555.91305755998</v>
      </c>
      <c r="BK66" s="50">
        <v>650492.61050834029</v>
      </c>
      <c r="BL66" s="50">
        <v>618038.571429</v>
      </c>
      <c r="BM66" s="50">
        <v>618209.97407975001</v>
      </c>
      <c r="BN66" s="50">
        <v>614687.22119773005</v>
      </c>
      <c r="BO66" s="50">
        <v>651181.75153640006</v>
      </c>
      <c r="BP66" s="50">
        <v>809175.59926628997</v>
      </c>
      <c r="BQ66" s="50">
        <v>782556.43989894004</v>
      </c>
      <c r="BR66" s="50">
        <v>798638.60635305999</v>
      </c>
      <c r="BS66" s="50">
        <v>824747.35440538998</v>
      </c>
      <c r="BT66" s="50">
        <v>825575.03557426995</v>
      </c>
      <c r="BU66" s="50">
        <v>819336.47181590996</v>
      </c>
      <c r="BV66" s="50">
        <v>858280.18814372004</v>
      </c>
      <c r="BW66" s="50">
        <v>865009.97227040003</v>
      </c>
      <c r="BX66" s="50">
        <v>871427.50156925002</v>
      </c>
      <c r="BY66" s="50">
        <v>869549.54890715994</v>
      </c>
      <c r="BZ66" s="50">
        <v>856071.90891710995</v>
      </c>
      <c r="CA66" s="50">
        <v>865290.72168547998</v>
      </c>
      <c r="CB66" s="50">
        <v>864232.30991294002</v>
      </c>
      <c r="CC66" s="50">
        <v>862887.64041310002</v>
      </c>
      <c r="CD66" s="50">
        <v>850191.39577179996</v>
      </c>
      <c r="CE66" s="50">
        <v>870999.79694849998</v>
      </c>
      <c r="CF66" s="50">
        <v>873816.30932920997</v>
      </c>
      <c r="CG66" s="50">
        <v>922778.36836911005</v>
      </c>
      <c r="CH66" s="50">
        <v>922667.65105529001</v>
      </c>
      <c r="CI66" s="50">
        <v>921969.76620284002</v>
      </c>
      <c r="CJ66" s="50">
        <v>946307.29400063003</v>
      </c>
      <c r="CK66" s="50">
        <v>965187.06241530005</v>
      </c>
      <c r="CL66" s="50">
        <v>987336.31561682001</v>
      </c>
      <c r="CM66" s="50">
        <v>991243.25198478997</v>
      </c>
      <c r="CN66" s="50">
        <v>1007146.8363985399</v>
      </c>
      <c r="CO66" s="50">
        <v>1024344.47741198</v>
      </c>
      <c r="CP66" s="50">
        <v>1023130.50270467</v>
      </c>
      <c r="CQ66" s="50">
        <v>1034160.90598428</v>
      </c>
      <c r="CR66" s="50">
        <v>1034148.05850301</v>
      </c>
      <c r="CS66" s="50">
        <v>1054897.57256738</v>
      </c>
      <c r="CT66" s="50">
        <v>1062198.8253440701</v>
      </c>
      <c r="CU66" s="50">
        <v>1027748.95020737</v>
      </c>
      <c r="CV66" s="50">
        <v>1031571.27141988</v>
      </c>
      <c r="CW66" s="50">
        <v>1044054.22658803</v>
      </c>
      <c r="CX66" s="50">
        <v>1036542.18202819</v>
      </c>
      <c r="CY66" s="50">
        <v>1051313.0614627199</v>
      </c>
      <c r="CZ66" s="50">
        <v>1068011.9922727</v>
      </c>
      <c r="DA66" s="50">
        <v>1071740.3602196099</v>
      </c>
      <c r="DB66" s="50">
        <v>1071293.8453690901</v>
      </c>
      <c r="DC66" s="50">
        <v>1083268.65050899</v>
      </c>
      <c r="DD66" s="50">
        <v>1068999.75524531</v>
      </c>
      <c r="DE66" s="50">
        <v>1091012.5074406301</v>
      </c>
      <c r="DF66" s="50">
        <v>1109431.0102474401</v>
      </c>
      <c r="DG66" s="50">
        <v>1125967.78301286</v>
      </c>
    </row>
    <row r="67" spans="1:112" s="55" customFormat="1" x14ac:dyDescent="0.3">
      <c r="A67" s="132" t="s">
        <v>26</v>
      </c>
      <c r="B67" s="80">
        <f>B26+B47+B56+B60+B51</f>
        <v>242396.18890189999</v>
      </c>
      <c r="C67" s="80">
        <f t="shared" ref="C67:I67" si="15">C26+C47+C56+C60+C51</f>
        <v>342013.27610612003</v>
      </c>
      <c r="D67" s="80">
        <f t="shared" si="15"/>
        <v>332775.8563577201</v>
      </c>
      <c r="E67" s="80">
        <f t="shared" si="15"/>
        <v>328108.35372526012</v>
      </c>
      <c r="F67" s="80">
        <f t="shared" si="15"/>
        <v>326324.12362229009</v>
      </c>
      <c r="G67" s="80">
        <f t="shared" si="15"/>
        <v>322068.33701507992</v>
      </c>
      <c r="H67" s="80">
        <f t="shared" si="15"/>
        <v>320997.00343238993</v>
      </c>
      <c r="I67" s="199">
        <f t="shared" si="15"/>
        <v>311633.09119607002</v>
      </c>
      <c r="J67" s="78">
        <v>315463.30981870001</v>
      </c>
      <c r="K67" s="78">
        <v>314991.55265840999</v>
      </c>
      <c r="L67" s="78">
        <v>308713.32987492002</v>
      </c>
      <c r="M67" s="77">
        <v>305857.72766342998</v>
      </c>
      <c r="N67" s="77">
        <v>341397.32040566002</v>
      </c>
      <c r="O67" s="77">
        <v>325550.29120867001</v>
      </c>
      <c r="P67" s="77">
        <v>329886.45802592998</v>
      </c>
      <c r="Q67" s="77">
        <v>325597.50843262998</v>
      </c>
      <c r="R67" s="77">
        <v>324346.75628938997</v>
      </c>
      <c r="S67" s="77">
        <v>323090.38456295</v>
      </c>
      <c r="T67" s="77">
        <v>330797.84775053</v>
      </c>
      <c r="U67" s="77">
        <v>354216.49561743002</v>
      </c>
      <c r="V67" s="77">
        <v>360660.41889455001</v>
      </c>
      <c r="W67" s="77">
        <v>355951.82118724001</v>
      </c>
      <c r="X67" s="77">
        <v>362211.47957028</v>
      </c>
      <c r="Y67" s="77">
        <v>331648.20495316997</v>
      </c>
      <c r="Z67" s="77">
        <v>337834.05612758</v>
      </c>
      <c r="AA67" s="77">
        <v>315517.34744663001</v>
      </c>
      <c r="AB67" s="77">
        <v>318464.29562410997</v>
      </c>
      <c r="AC67" s="77">
        <v>307576.55312296998</v>
      </c>
      <c r="AD67" s="77">
        <v>305844.98531928001</v>
      </c>
      <c r="AE67" s="77">
        <v>295965.37125159003</v>
      </c>
      <c r="AF67" s="77">
        <v>284017.29629531002</v>
      </c>
      <c r="AG67" s="77">
        <v>283495.77280454</v>
      </c>
      <c r="AH67" s="77">
        <v>264300.01521717</v>
      </c>
      <c r="AI67" s="77">
        <v>273294.18588907999</v>
      </c>
      <c r="AJ67" s="77">
        <v>262686.32299175003</v>
      </c>
      <c r="AK67" s="77">
        <v>251344.89418152999</v>
      </c>
      <c r="AL67" s="77">
        <v>264788.07938080002</v>
      </c>
      <c r="AM67" s="77">
        <v>260296.83679050001</v>
      </c>
      <c r="AN67" s="77">
        <v>297571.80004424002</v>
      </c>
      <c r="AO67" s="77">
        <v>286140.75729589001</v>
      </c>
      <c r="AP67" s="77">
        <v>286576.08713326999</v>
      </c>
      <c r="AQ67" s="77">
        <v>260732.47346056</v>
      </c>
      <c r="AR67" s="77">
        <v>270656.15785210999</v>
      </c>
      <c r="AS67" s="77">
        <v>270231.63556200999</v>
      </c>
      <c r="AT67" s="77">
        <v>239552.75275096</v>
      </c>
      <c r="AU67" s="77">
        <v>218271.36710810001</v>
      </c>
      <c r="AV67" s="77">
        <v>194165.58926139999</v>
      </c>
      <c r="AW67" s="77">
        <v>184764.11369114</v>
      </c>
      <c r="AX67" s="77">
        <v>186516.4327906</v>
      </c>
      <c r="AY67" s="77">
        <v>181435.51109442001</v>
      </c>
      <c r="AZ67" s="77">
        <v>179371.23094819</v>
      </c>
      <c r="BA67" s="77">
        <v>182012.74483002999</v>
      </c>
      <c r="BB67" s="77">
        <v>168543.54329562001</v>
      </c>
      <c r="BC67" s="77">
        <v>157515.35864116001</v>
      </c>
      <c r="BD67" s="77">
        <v>149418.98032336001</v>
      </c>
      <c r="BE67" s="77">
        <v>146605.36153711</v>
      </c>
      <c r="BF67" s="77">
        <v>130518.77466808</v>
      </c>
      <c r="BG67" s="77">
        <v>128273.03641338</v>
      </c>
      <c r="BH67" s="77">
        <v>112951.38822785</v>
      </c>
      <c r="BI67" s="77">
        <v>109524.08820603001</v>
      </c>
      <c r="BJ67" s="77">
        <v>114789.66789282</v>
      </c>
      <c r="BK67" s="77">
        <v>73228.106554000042</v>
      </c>
      <c r="BL67" s="77">
        <v>73019.851001649993</v>
      </c>
      <c r="BM67" s="77">
        <v>75793.406267750004</v>
      </c>
      <c r="BN67" s="77">
        <v>78789.959406209993</v>
      </c>
      <c r="BO67" s="77">
        <v>83977.674702660006</v>
      </c>
      <c r="BP67" s="77">
        <v>104415.49872423</v>
      </c>
      <c r="BQ67" s="77">
        <v>106349.66488087</v>
      </c>
      <c r="BR67" s="77">
        <v>112886.58460128</v>
      </c>
      <c r="BS67" s="77">
        <v>124117.85370608</v>
      </c>
      <c r="BT67" s="77">
        <v>128270.46159126</v>
      </c>
      <c r="BU67" s="77">
        <v>124759.51446435</v>
      </c>
      <c r="BV67" s="77">
        <v>125217.6208379</v>
      </c>
      <c r="BW67" s="77">
        <v>123977.56394741</v>
      </c>
      <c r="BX67" s="77">
        <v>125485.05814466999</v>
      </c>
      <c r="BY67" s="77">
        <v>127877.12659472</v>
      </c>
      <c r="BZ67" s="77">
        <v>122580.51639932</v>
      </c>
      <c r="CA67" s="77">
        <v>122277.64862823</v>
      </c>
      <c r="CB67" s="77">
        <v>125038.83470327999</v>
      </c>
      <c r="CC67" s="77">
        <v>126143.12257267001</v>
      </c>
      <c r="CD67" s="77">
        <v>125515.89665479001</v>
      </c>
      <c r="CE67" s="77">
        <v>125847.25327343</v>
      </c>
      <c r="CF67" s="77">
        <v>124176.28384228</v>
      </c>
      <c r="CG67" s="77">
        <v>128761.64256168</v>
      </c>
      <c r="CH67" s="77">
        <v>127421.18605646001</v>
      </c>
      <c r="CI67" s="77">
        <v>127729.0892611</v>
      </c>
      <c r="CJ67" s="77">
        <v>130381.78802553</v>
      </c>
      <c r="CK67" s="77">
        <v>130861.54961017999</v>
      </c>
      <c r="CL67" s="77">
        <v>133001.97128654001</v>
      </c>
      <c r="CM67" s="77">
        <v>131768.9452968</v>
      </c>
      <c r="CN67" s="77">
        <v>131951.75879386</v>
      </c>
      <c r="CO67" s="77">
        <v>133264.62959001001</v>
      </c>
      <c r="CP67" s="77">
        <v>132994.13986110999</v>
      </c>
      <c r="CQ67" s="77">
        <v>132888.67138037001</v>
      </c>
      <c r="CR67" s="77">
        <v>132851.27326317999</v>
      </c>
      <c r="CS67" s="77">
        <v>128778.22851468</v>
      </c>
      <c r="CT67" s="77">
        <v>128648.37864451999</v>
      </c>
      <c r="CU67" s="77">
        <v>129157.52657214001</v>
      </c>
      <c r="CV67" s="77">
        <v>120883.70505479</v>
      </c>
      <c r="CW67" s="77">
        <v>122975.67086300001</v>
      </c>
      <c r="CX67" s="77">
        <v>122804.01540357</v>
      </c>
      <c r="CY67" s="77">
        <v>123484.05239767001</v>
      </c>
      <c r="CZ67" s="77">
        <v>121420.36080323999</v>
      </c>
      <c r="DA67" s="77">
        <v>119542.37649020999</v>
      </c>
      <c r="DB67" s="77">
        <v>116984.42960821</v>
      </c>
      <c r="DC67" s="77">
        <v>118782.94447613</v>
      </c>
      <c r="DD67" s="77">
        <v>119361.50052109</v>
      </c>
      <c r="DE67" s="77">
        <v>97437.549074819995</v>
      </c>
      <c r="DF67" s="77">
        <v>98628.280038550001</v>
      </c>
      <c r="DG67" s="77">
        <v>98430.985005070004</v>
      </c>
    </row>
    <row r="68" spans="1:112" s="90" customFormat="1" x14ac:dyDescent="0.3">
      <c r="A68" s="145" t="s">
        <v>27</v>
      </c>
      <c r="B68" s="146">
        <f t="shared" ref="B68:I68" si="16">IFERROR(100*(B67/B66),0)</f>
        <v>46.852157296449128</v>
      </c>
      <c r="C68" s="146">
        <f t="shared" si="16"/>
        <v>44.387320948353036</v>
      </c>
      <c r="D68" s="146">
        <f t="shared" si="16"/>
        <v>43.479717932230891</v>
      </c>
      <c r="E68" s="146">
        <f t="shared" si="16"/>
        <v>43.762526836680884</v>
      </c>
      <c r="F68" s="146">
        <f t="shared" si="16"/>
        <v>43.574496190979289</v>
      </c>
      <c r="G68" s="146">
        <f t="shared" si="16"/>
        <v>43.609367566628663</v>
      </c>
      <c r="H68" s="146">
        <f t="shared" si="16"/>
        <v>43.792400960734177</v>
      </c>
      <c r="I68" s="200">
        <f t="shared" si="16"/>
        <v>43.099266770588649</v>
      </c>
      <c r="J68" s="149">
        <v>42.242469286509476</v>
      </c>
      <c r="K68" s="149">
        <v>42.546269449060503</v>
      </c>
      <c r="L68" s="149">
        <v>41.815791037429399</v>
      </c>
      <c r="M68" s="146">
        <v>40.267054489257298</v>
      </c>
      <c r="N68" s="149">
        <v>43.882188562280298</v>
      </c>
      <c r="O68" s="149">
        <v>43.172017514310099</v>
      </c>
      <c r="P68" s="149">
        <v>43.8063119868496</v>
      </c>
      <c r="Q68" s="149">
        <v>43.481415319586198</v>
      </c>
      <c r="R68" s="149">
        <v>43.420142697243399</v>
      </c>
      <c r="S68" s="149">
        <v>43.077344355106497</v>
      </c>
      <c r="T68" s="149">
        <v>43.298481755909101</v>
      </c>
      <c r="U68" s="149">
        <v>42.860505829705701</v>
      </c>
      <c r="V68" s="149">
        <v>43.188854090136701</v>
      </c>
      <c r="W68" s="149">
        <v>43.112958620321699</v>
      </c>
      <c r="X68" s="149">
        <v>44.297997781145298</v>
      </c>
      <c r="Y68" s="149">
        <v>42.379661058422698</v>
      </c>
      <c r="Z68" s="149">
        <v>43.241881091677897</v>
      </c>
      <c r="AA68" s="149">
        <v>41.552493243098397</v>
      </c>
      <c r="AB68" s="149">
        <v>42.5535664313159</v>
      </c>
      <c r="AC68" s="149">
        <v>42.077683431623598</v>
      </c>
      <c r="AD68" s="149">
        <v>41.577789354051902</v>
      </c>
      <c r="AE68" s="149">
        <v>40.189105070970001</v>
      </c>
      <c r="AF68" s="149">
        <v>38.120841592151002</v>
      </c>
      <c r="AG68" s="149">
        <v>38.1919672134037</v>
      </c>
      <c r="AH68" s="149">
        <v>37.405786873643997</v>
      </c>
      <c r="AI68" s="149">
        <v>37.42406051223</v>
      </c>
      <c r="AJ68" s="149">
        <v>36.776646993938897</v>
      </c>
      <c r="AK68" s="149">
        <v>35.034445906344601</v>
      </c>
      <c r="AL68" s="149">
        <v>34.787183428324397</v>
      </c>
      <c r="AM68" s="149">
        <v>34.841926396269301</v>
      </c>
      <c r="AN68" s="149">
        <v>34.7873015665553</v>
      </c>
      <c r="AO68" s="149">
        <v>35.421222935158198</v>
      </c>
      <c r="AP68" s="149">
        <v>35.446207801012598</v>
      </c>
      <c r="AQ68" s="149">
        <v>33.138605200308596</v>
      </c>
      <c r="AR68" s="149">
        <v>32.2400507941028</v>
      </c>
      <c r="AS68" s="149">
        <v>32.542658637557601</v>
      </c>
      <c r="AT68" s="149">
        <v>29.287742831637701</v>
      </c>
      <c r="AU68" s="149">
        <v>27.382896766666601</v>
      </c>
      <c r="AV68" s="149">
        <v>25.082800096661799</v>
      </c>
      <c r="AW68" s="149">
        <v>24.763843752139799</v>
      </c>
      <c r="AX68" s="149">
        <v>25.0975958815993</v>
      </c>
      <c r="AY68" s="149">
        <v>24.722880532442101</v>
      </c>
      <c r="AZ68" s="149">
        <v>24.237536664740901</v>
      </c>
      <c r="BA68" s="149">
        <v>24.344337727861301</v>
      </c>
      <c r="BB68" s="149">
        <v>22.889626995230302</v>
      </c>
      <c r="BC68" s="149">
        <v>21.9043603796969</v>
      </c>
      <c r="BD68" s="149">
        <v>20.927485641074099</v>
      </c>
      <c r="BE68" s="149">
        <v>20.415310348330099</v>
      </c>
      <c r="BF68" s="149">
        <v>18.579777103470398</v>
      </c>
      <c r="BG68" s="149">
        <v>18.673664449018599</v>
      </c>
      <c r="BH68" s="149">
        <v>16.335392773691101</v>
      </c>
      <c r="BI68" s="149">
        <v>16.1202333171899</v>
      </c>
      <c r="BJ68" s="149">
        <v>16.154909949151499</v>
      </c>
      <c r="BK68" s="149">
        <v>11.257331039744555</v>
      </c>
      <c r="BL68" s="149">
        <v>11.8147724716949</v>
      </c>
      <c r="BM68" s="149">
        <v>12.2601396686577</v>
      </c>
      <c r="BN68" s="149">
        <v>12.8178944817962</v>
      </c>
      <c r="BO68" s="149">
        <v>12.8961959552034</v>
      </c>
      <c r="BP68" s="149">
        <v>12.9039356622849</v>
      </c>
      <c r="BQ68" s="149">
        <v>13.5900312691317</v>
      </c>
      <c r="BR68" s="149">
        <v>14.1348769898278</v>
      </c>
      <c r="BS68" s="149">
        <v>15.0491969502059</v>
      </c>
      <c r="BT68" s="149">
        <v>15.5371051768826</v>
      </c>
      <c r="BU68" s="149">
        <v>15.2268962454269</v>
      </c>
      <c r="BV68" s="149">
        <v>14.5893640057939</v>
      </c>
      <c r="BW68" s="149">
        <v>14.3325011181091</v>
      </c>
      <c r="BX68" s="149">
        <v>14.399942384042101</v>
      </c>
      <c r="BY68" s="149">
        <v>14.7061345446541</v>
      </c>
      <c r="BZ68" s="149">
        <v>14.3189509108386</v>
      </c>
      <c r="CA68" s="149">
        <v>14.131394866923801</v>
      </c>
      <c r="CB68" s="149">
        <v>14.4681971813662</v>
      </c>
      <c r="CC68" s="149">
        <v>14.618719363308999</v>
      </c>
      <c r="CD68" s="149">
        <v>14.763251813534</v>
      </c>
      <c r="CE68" s="149">
        <v>14.448597314755901</v>
      </c>
      <c r="CF68" s="149">
        <v>14.2107995143287</v>
      </c>
      <c r="CG68" s="149">
        <v>13.953691046014599</v>
      </c>
      <c r="CH68" s="149">
        <v>13.810084910934499</v>
      </c>
      <c r="CI68" s="149">
        <v>13.8539346888951</v>
      </c>
      <c r="CJ68" s="149">
        <v>13.777954460683199</v>
      </c>
      <c r="CK68" s="149">
        <v>13.558154134672099</v>
      </c>
      <c r="CL68" s="149">
        <v>13.4707869226353</v>
      </c>
      <c r="CM68" s="147">
        <v>13.2933006134423</v>
      </c>
      <c r="CN68" s="147">
        <v>13.1015413070955</v>
      </c>
      <c r="CO68" s="147">
        <v>13.0097474559247</v>
      </c>
      <c r="CP68" s="147">
        <v>12.998746446278</v>
      </c>
      <c r="CQ68" s="147">
        <v>12.849902816031401</v>
      </c>
      <c r="CR68" s="147">
        <v>12.846446132238601</v>
      </c>
      <c r="CS68" s="147">
        <v>12.207652369628899</v>
      </c>
      <c r="CT68" s="147">
        <v>12.1115158080549</v>
      </c>
      <c r="CU68" s="147">
        <v>12.5670307467675</v>
      </c>
      <c r="CV68" s="147">
        <v>11.718405543458299</v>
      </c>
      <c r="CW68" s="147">
        <v>11.778667020475</v>
      </c>
      <c r="CX68" s="147">
        <v>11.8474691655366</v>
      </c>
      <c r="CY68" s="147">
        <v>11.7456975399757</v>
      </c>
      <c r="CZ68" s="147">
        <v>11.3688199834593</v>
      </c>
      <c r="DA68" s="147">
        <v>11.154042613988601</v>
      </c>
      <c r="DB68" s="147">
        <v>10.9199198813567</v>
      </c>
      <c r="DC68" s="147">
        <v>10.9652341937818</v>
      </c>
      <c r="DD68" s="147">
        <v>11.165718227288</v>
      </c>
      <c r="DE68" s="147">
        <v>8.9309286933286902</v>
      </c>
      <c r="DF68" s="147">
        <v>8.8899876718384299</v>
      </c>
      <c r="DG68" s="147">
        <v>8.7419006556021301</v>
      </c>
    </row>
    <row r="69" spans="1:112" x14ac:dyDescent="0.3">
      <c r="A69" s="138"/>
      <c r="B69" s="122"/>
      <c r="C69" s="122"/>
      <c r="D69" s="122"/>
      <c r="E69" s="122"/>
      <c r="F69" s="122"/>
      <c r="G69" s="122"/>
      <c r="H69" s="122"/>
      <c r="I69" s="122"/>
      <c r="J69" s="2"/>
      <c r="K69" s="2"/>
      <c r="L69" s="2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30"/>
      <c r="BR69" s="30"/>
      <c r="BS69" s="30"/>
      <c r="BT69" s="30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30"/>
      <c r="CG69" s="30"/>
      <c r="CH69" s="30"/>
      <c r="CI69" s="30"/>
      <c r="CJ69" s="30"/>
      <c r="CK69" s="30"/>
      <c r="CL69" s="30"/>
      <c r="CM69" s="98"/>
      <c r="CN69" s="98"/>
      <c r="CO69" s="98"/>
      <c r="CP69" s="98"/>
      <c r="CQ69" s="98"/>
      <c r="CR69" s="98"/>
      <c r="CS69" s="98"/>
      <c r="CT69" s="98"/>
      <c r="CU69" s="98"/>
      <c r="CV69" s="98"/>
      <c r="CW69" s="98"/>
      <c r="CX69" s="98"/>
      <c r="CY69" s="98"/>
      <c r="CZ69" s="98"/>
      <c r="DA69" s="98"/>
      <c r="DB69" s="98"/>
      <c r="DC69" s="98"/>
      <c r="DD69" s="98"/>
      <c r="DE69" s="98"/>
      <c r="DF69" s="98"/>
      <c r="DG69" s="98"/>
      <c r="DH69" s="98"/>
    </row>
    <row r="70" spans="1:112" x14ac:dyDescent="0.3">
      <c r="A70" s="139" t="s">
        <v>36</v>
      </c>
      <c r="B70" s="105"/>
      <c r="C70" s="105"/>
      <c r="D70" s="105"/>
      <c r="E70" s="105"/>
      <c r="F70" s="105"/>
      <c r="G70" s="105"/>
      <c r="H70" s="105"/>
      <c r="I70" s="105"/>
      <c r="J70" s="102"/>
      <c r="K70" s="102"/>
      <c r="L70" s="102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W70" s="163"/>
      <c r="X70" s="163"/>
      <c r="Y70" s="163"/>
      <c r="Z70" s="163"/>
      <c r="AA70" s="163"/>
      <c r="AB70" s="163"/>
      <c r="AC70" s="163"/>
      <c r="AD70" s="163"/>
      <c r="AE70" s="163"/>
      <c r="AF70" s="163"/>
      <c r="AG70" s="163"/>
      <c r="AH70" s="163"/>
      <c r="AI70" s="163"/>
      <c r="AJ70" s="163"/>
      <c r="AK70" s="163"/>
      <c r="AL70" s="163"/>
      <c r="AM70" s="163"/>
      <c r="AN70" s="163"/>
      <c r="AO70" s="163"/>
      <c r="AP70" s="163"/>
      <c r="AQ70" s="163"/>
      <c r="AR70" s="163"/>
      <c r="AS70" s="163"/>
      <c r="AT70" s="163"/>
      <c r="AU70" s="163"/>
      <c r="AV70" s="163"/>
      <c r="AW70" s="163"/>
      <c r="AX70" s="163"/>
      <c r="AY70" s="163"/>
      <c r="AZ70" s="163"/>
      <c r="BA70" s="163"/>
      <c r="BB70" s="163"/>
      <c r="BC70" s="163"/>
      <c r="BD70" s="163"/>
      <c r="BE70" s="163"/>
      <c r="BF70" s="163"/>
      <c r="BG70" s="163"/>
      <c r="BH70" s="163"/>
      <c r="BI70" s="163"/>
      <c r="BJ70" s="163"/>
      <c r="BK70" s="163"/>
      <c r="BL70" s="163"/>
      <c r="BM70" s="163"/>
      <c r="BN70" s="163"/>
      <c r="BO70" s="163"/>
      <c r="BP70" s="163"/>
      <c r="BQ70" s="163"/>
      <c r="BR70" s="163"/>
      <c r="BS70" s="163"/>
      <c r="BT70" s="163"/>
      <c r="BU70" s="163"/>
      <c r="BV70" s="163"/>
      <c r="BW70" s="163"/>
      <c r="BX70" s="163"/>
      <c r="BY70" s="163"/>
      <c r="BZ70" s="163"/>
      <c r="CA70" s="163"/>
      <c r="CB70" s="163"/>
      <c r="CC70" s="163"/>
      <c r="CD70" s="163"/>
      <c r="CE70" s="163"/>
      <c r="CF70" s="163"/>
      <c r="CG70" s="163"/>
      <c r="CH70" s="163"/>
      <c r="CI70" s="163"/>
      <c r="CJ70" s="163"/>
      <c r="CK70" s="163"/>
      <c r="CL70" s="163"/>
      <c r="CM70" s="161"/>
      <c r="CN70" s="161"/>
      <c r="CO70" s="161"/>
      <c r="CP70" s="161"/>
      <c r="CQ70" s="161"/>
      <c r="CR70" s="161"/>
      <c r="CS70" s="161"/>
      <c r="CT70" s="161"/>
      <c r="CU70" s="161"/>
      <c r="CV70" s="161"/>
      <c r="CW70" s="161"/>
      <c r="CX70" s="161"/>
      <c r="CY70" s="161"/>
      <c r="CZ70" s="161"/>
      <c r="DA70" s="161"/>
      <c r="DB70" s="161"/>
      <c r="DC70" s="161"/>
      <c r="DD70" s="161"/>
      <c r="DE70" s="161"/>
      <c r="DF70" s="161"/>
      <c r="DG70" s="161"/>
    </row>
    <row r="71" spans="1:112" s="30" customFormat="1" ht="28.8" x14ac:dyDescent="0.3">
      <c r="A71" s="140" t="s">
        <v>37</v>
      </c>
      <c r="B71" s="43">
        <v>60102.750671640017</v>
      </c>
      <c r="C71" s="43">
        <v>71184.138303929984</v>
      </c>
      <c r="D71" s="43">
        <v>94389.374249290006</v>
      </c>
      <c r="E71" s="43">
        <v>91699.123837770021</v>
      </c>
      <c r="F71" s="43">
        <v>97656.964015550038</v>
      </c>
      <c r="G71" s="43">
        <v>102823.54816592006</v>
      </c>
      <c r="H71" s="43">
        <v>101377.29718564998</v>
      </c>
      <c r="I71" s="43">
        <v>97588.475804509973</v>
      </c>
      <c r="J71" s="27">
        <v>94377.302543459999</v>
      </c>
      <c r="K71" s="27">
        <v>95124.964209040001</v>
      </c>
      <c r="L71" s="27">
        <v>92425.518361540002</v>
      </c>
      <c r="M71" s="43">
        <v>100012.90454274</v>
      </c>
      <c r="N71" s="27">
        <v>105153.76098614</v>
      </c>
      <c r="O71" s="27">
        <v>97416.224892080005</v>
      </c>
      <c r="P71" s="27">
        <v>93513.958620270001</v>
      </c>
      <c r="Q71" s="27">
        <v>97335.18649624</v>
      </c>
      <c r="R71" s="27">
        <v>91532.174679579999</v>
      </c>
      <c r="S71" s="27">
        <v>95576.918790659998</v>
      </c>
      <c r="T71" s="27">
        <v>95547.462472519997</v>
      </c>
      <c r="U71" s="27">
        <v>117948.73722069</v>
      </c>
      <c r="V71" s="27">
        <v>116917.20322933</v>
      </c>
      <c r="W71" s="27">
        <v>116079.11548519001</v>
      </c>
      <c r="X71" s="27">
        <v>113813.26703043</v>
      </c>
      <c r="Y71" s="27">
        <v>113405.08110838001</v>
      </c>
      <c r="Z71" s="27">
        <v>119260.25807293</v>
      </c>
      <c r="AA71" s="27">
        <v>114061.74171654</v>
      </c>
      <c r="AB71" s="27">
        <v>115430.77485259</v>
      </c>
      <c r="AC71" s="27">
        <v>104909.87344918</v>
      </c>
      <c r="AD71" s="27">
        <v>106461.32540086001</v>
      </c>
      <c r="AE71" s="27">
        <v>106880.37014081</v>
      </c>
      <c r="AF71" s="27">
        <v>98601.747003640005</v>
      </c>
      <c r="AG71" s="27">
        <v>103437.91494218</v>
      </c>
      <c r="AH71" s="27">
        <v>98579.885793819994</v>
      </c>
      <c r="AI71" s="27">
        <v>103722.30860822</v>
      </c>
      <c r="AJ71" s="27">
        <v>98103.625015330006</v>
      </c>
      <c r="AK71" s="27">
        <v>104528.25309092</v>
      </c>
      <c r="AL71" s="27">
        <v>115178.78691294001</v>
      </c>
      <c r="AM71" s="27">
        <v>110821.40346378001</v>
      </c>
      <c r="AN71" s="27">
        <v>96546.103397590006</v>
      </c>
      <c r="AO71" s="27">
        <v>93941.639958629996</v>
      </c>
      <c r="AP71" s="27">
        <v>97383.569024559998</v>
      </c>
      <c r="AQ71" s="27">
        <v>98104.376533389994</v>
      </c>
      <c r="AR71" s="27">
        <v>101063.72598202</v>
      </c>
      <c r="AS71" s="27">
        <v>99852.142044549997</v>
      </c>
      <c r="AT71" s="27">
        <v>111188.81153469</v>
      </c>
      <c r="AU71" s="27">
        <v>112415.70872107999</v>
      </c>
      <c r="AV71" s="27">
        <v>113064.15348715</v>
      </c>
      <c r="AW71" s="27">
        <v>115461.59214091999</v>
      </c>
      <c r="AX71" s="27">
        <v>117161.84297471</v>
      </c>
      <c r="AY71" s="27">
        <v>124423.79244082001</v>
      </c>
      <c r="AZ71" s="27">
        <v>120000.69924282</v>
      </c>
      <c r="BA71" s="27">
        <v>120246.72680924</v>
      </c>
      <c r="BB71" s="27">
        <v>121179.88297439</v>
      </c>
      <c r="BC71" s="27">
        <v>116797.19915158</v>
      </c>
      <c r="BD71" s="27">
        <v>117737.29961622</v>
      </c>
      <c r="BE71" s="27">
        <v>113940.67631323999</v>
      </c>
      <c r="BF71" s="27">
        <v>114166.98485778</v>
      </c>
      <c r="BG71" s="27">
        <v>113269.38753589999</v>
      </c>
      <c r="BH71" s="27">
        <v>118196.53715243</v>
      </c>
      <c r="BI71" s="27">
        <v>124881.90531456</v>
      </c>
      <c r="BJ71" s="27">
        <v>138642.92531496001</v>
      </c>
      <c r="BK71" s="27">
        <v>138838.65409168001</v>
      </c>
      <c r="BL71" s="27">
        <v>142447.89627842</v>
      </c>
      <c r="BM71" s="27">
        <v>139201.66718265001</v>
      </c>
      <c r="BN71" s="27">
        <v>139507.52348306001</v>
      </c>
      <c r="BO71" s="27">
        <v>139253.58021238001</v>
      </c>
      <c r="BP71" s="27">
        <v>179113.79710513001</v>
      </c>
      <c r="BQ71" s="27">
        <v>177214.59985771999</v>
      </c>
      <c r="BR71" s="27">
        <v>168714.9136348</v>
      </c>
      <c r="BS71" s="27">
        <v>163528.74022112001</v>
      </c>
      <c r="BT71" s="27">
        <v>158770.64380855</v>
      </c>
      <c r="BU71" s="27">
        <v>160574.4261826</v>
      </c>
      <c r="BV71" s="27">
        <v>160526.88650851999</v>
      </c>
      <c r="BW71" s="27">
        <v>157738.77727968001</v>
      </c>
      <c r="BX71" s="27">
        <v>145262.14191954001</v>
      </c>
      <c r="BY71" s="27">
        <v>150540.69081299001</v>
      </c>
      <c r="BZ71" s="27">
        <v>148451.47444156001</v>
      </c>
      <c r="CA71" s="27">
        <v>148531.90711286</v>
      </c>
      <c r="CB71" s="27">
        <v>145105.65532531001</v>
      </c>
      <c r="CC71" s="27">
        <v>140992.18855311</v>
      </c>
      <c r="CD71" s="27">
        <v>140303.05605124999</v>
      </c>
      <c r="CE71" s="27">
        <v>138451.26032659001</v>
      </c>
      <c r="CF71" s="27">
        <v>135875.70579204001</v>
      </c>
      <c r="CG71" s="27">
        <v>148609.45982022001</v>
      </c>
      <c r="CH71" s="27">
        <v>149383.19864545</v>
      </c>
      <c r="CI71" s="27">
        <v>146514.26600196</v>
      </c>
      <c r="CJ71" s="27">
        <v>143607.49576948999</v>
      </c>
      <c r="CK71" s="27">
        <v>137176.34858336</v>
      </c>
      <c r="CL71" s="27">
        <v>140240.02001492999</v>
      </c>
      <c r="CM71" s="27">
        <v>140257.17614945001</v>
      </c>
      <c r="CN71" s="27">
        <v>152899.86316914999</v>
      </c>
      <c r="CO71" s="27">
        <v>144937.18700244001</v>
      </c>
      <c r="CP71" s="27">
        <v>141353.58236465001</v>
      </c>
      <c r="CQ71" s="27">
        <v>146312.79262664</v>
      </c>
      <c r="CR71" s="27">
        <v>142839.15042836999</v>
      </c>
      <c r="CS71" s="27">
        <v>148701.72039305</v>
      </c>
      <c r="CT71" s="27">
        <v>154276.14331675999</v>
      </c>
      <c r="CU71" s="27">
        <v>157618.50474946</v>
      </c>
      <c r="CV71" s="27">
        <v>163474.97517161001</v>
      </c>
      <c r="CW71" s="27">
        <v>168798.07520550999</v>
      </c>
      <c r="CX71" s="27">
        <v>164769.30342559001</v>
      </c>
      <c r="CY71" s="27">
        <v>176524.07895159</v>
      </c>
      <c r="CZ71" s="27">
        <v>184916.82989096001</v>
      </c>
      <c r="DA71" s="27">
        <v>179389.67784203999</v>
      </c>
      <c r="DB71" s="27">
        <v>183832.88886189001</v>
      </c>
      <c r="DC71" s="27">
        <v>182327.64725501</v>
      </c>
      <c r="DD71" s="27">
        <v>179067.11795039999</v>
      </c>
      <c r="DE71" s="27">
        <v>174289.99299378</v>
      </c>
      <c r="DF71" s="27">
        <v>181471.7944555</v>
      </c>
      <c r="DG71" s="27">
        <v>179876.13759597999</v>
      </c>
    </row>
    <row r="72" spans="1:112" s="30" customFormat="1" ht="28.8" x14ac:dyDescent="0.3">
      <c r="A72" s="141" t="s">
        <v>38</v>
      </c>
      <c r="B72" s="201">
        <v>24212.074883080026</v>
      </c>
      <c r="C72" s="29">
        <v>28609.52228687</v>
      </c>
      <c r="D72" s="29">
        <v>35477.934375219986</v>
      </c>
      <c r="E72" s="29">
        <v>36263.364380420018</v>
      </c>
      <c r="F72" s="29">
        <v>35679.753298169984</v>
      </c>
      <c r="G72" s="29">
        <v>27723.18263394</v>
      </c>
      <c r="H72" s="29">
        <v>28249.41509357002</v>
      </c>
      <c r="I72" s="29">
        <v>32148.384549480001</v>
      </c>
      <c r="J72" s="29">
        <v>36517.07693078999</v>
      </c>
      <c r="K72" s="29">
        <v>36891.37648187</v>
      </c>
      <c r="L72" s="29">
        <v>34048.613138250003</v>
      </c>
      <c r="M72" s="202">
        <v>30365.522973269999</v>
      </c>
      <c r="N72" s="29">
        <v>40852.764960339999</v>
      </c>
      <c r="O72" s="29">
        <v>43327.615188010001</v>
      </c>
      <c r="P72" s="118">
        <v>40352.047369599997</v>
      </c>
      <c r="Q72" s="118">
        <v>34710.500945560001</v>
      </c>
      <c r="R72" s="118">
        <v>35833.46212828</v>
      </c>
      <c r="S72" s="118">
        <v>32548.5314344</v>
      </c>
      <c r="T72" s="118">
        <v>35031.44981056</v>
      </c>
      <c r="U72" s="118">
        <v>34464.582667379997</v>
      </c>
      <c r="V72" s="118">
        <v>40444.27747768</v>
      </c>
      <c r="W72" s="118">
        <v>36860.428980769997</v>
      </c>
      <c r="X72" s="118">
        <v>38095.513258359999</v>
      </c>
      <c r="Y72" s="118">
        <v>30275.529510169999</v>
      </c>
      <c r="Z72" s="118">
        <v>32373.36886151</v>
      </c>
      <c r="AA72" s="118">
        <v>31738.819262649999</v>
      </c>
      <c r="AB72" s="118">
        <v>32476.85905399</v>
      </c>
      <c r="AC72" s="118">
        <v>31566.843651439998</v>
      </c>
      <c r="AD72" s="118">
        <v>30559.536615659999</v>
      </c>
      <c r="AE72" s="118">
        <v>30599.343488130002</v>
      </c>
      <c r="AF72" s="118">
        <v>33568.561611429999</v>
      </c>
      <c r="AG72" s="118">
        <v>32661.39683016</v>
      </c>
      <c r="AH72" s="118">
        <v>29060.102891959999</v>
      </c>
      <c r="AI72" s="118">
        <v>29585.610833219998</v>
      </c>
      <c r="AJ72" s="118">
        <v>30626.979873879998</v>
      </c>
      <c r="AK72" s="118">
        <v>26087.23802873</v>
      </c>
      <c r="AL72" s="118">
        <v>36591.513848280003</v>
      </c>
      <c r="AM72" s="118">
        <v>38098.506139800003</v>
      </c>
      <c r="AN72" s="118">
        <v>35969.833567100002</v>
      </c>
      <c r="AO72" s="118">
        <v>34775.235035199999</v>
      </c>
      <c r="AP72" s="118">
        <v>38770.307919229999</v>
      </c>
      <c r="AQ72" s="118">
        <v>34856.322220540002</v>
      </c>
      <c r="AR72" s="118">
        <v>42298.769291060002</v>
      </c>
      <c r="AS72" s="118">
        <v>43963.634343379999</v>
      </c>
      <c r="AT72" s="118">
        <v>40970.286188669998</v>
      </c>
      <c r="AU72" s="118">
        <v>44537.127396060001</v>
      </c>
      <c r="AV72" s="118">
        <v>47874.192182300001</v>
      </c>
      <c r="AW72" s="118">
        <v>39713.336483320003</v>
      </c>
      <c r="AX72" s="118">
        <v>47653.489873029997</v>
      </c>
      <c r="AY72" s="118">
        <v>57647.955618380001</v>
      </c>
      <c r="AZ72" s="118">
        <v>50977.801726049998</v>
      </c>
      <c r="BA72" s="118">
        <v>46123.052093099999</v>
      </c>
      <c r="BB72" s="118">
        <v>56319.181472279997</v>
      </c>
      <c r="BC72" s="118">
        <v>48914.683599609998</v>
      </c>
      <c r="BD72" s="118">
        <v>51749.628142269998</v>
      </c>
      <c r="BE72" s="118">
        <v>54069.29327432</v>
      </c>
      <c r="BF72" s="118">
        <v>51237.81100437</v>
      </c>
      <c r="BG72" s="118">
        <v>49365.70215415</v>
      </c>
      <c r="BH72" s="118">
        <v>55546.163111659997</v>
      </c>
      <c r="BI72" s="118">
        <v>47078.998045870001</v>
      </c>
      <c r="BJ72" s="118">
        <v>62693.623256090003</v>
      </c>
      <c r="BK72" s="118">
        <v>41625.358779269991</v>
      </c>
      <c r="BL72" s="118">
        <v>37701.473053109999</v>
      </c>
      <c r="BM72" s="118">
        <v>40169.673339389999</v>
      </c>
      <c r="BN72" s="118">
        <v>41885.526216749997</v>
      </c>
      <c r="BO72" s="118">
        <v>42257.708986370002</v>
      </c>
      <c r="BP72" s="118">
        <v>61082.198211759998</v>
      </c>
      <c r="BQ72" s="118">
        <v>58815.395488560003</v>
      </c>
      <c r="BR72" s="118">
        <v>62085.141827860003</v>
      </c>
      <c r="BS72" s="118">
        <v>70110.562880199999</v>
      </c>
      <c r="BT72" s="118">
        <v>90605.791073999993</v>
      </c>
      <c r="BU72" s="118">
        <v>57999.884414940003</v>
      </c>
      <c r="BV72" s="118">
        <v>56177.674878530001</v>
      </c>
      <c r="BW72" s="118">
        <v>54916.183544510001</v>
      </c>
      <c r="BX72" s="118">
        <v>64548.90222774</v>
      </c>
      <c r="BY72" s="118">
        <v>54546.725366719998</v>
      </c>
      <c r="BZ72" s="118">
        <v>57153.044999990001</v>
      </c>
      <c r="CA72" s="118">
        <v>55059.512526270002</v>
      </c>
      <c r="CB72" s="118">
        <v>55735.61360217</v>
      </c>
      <c r="CC72" s="118">
        <v>55664.863270260001</v>
      </c>
      <c r="CD72" s="118">
        <v>54858.619049929999</v>
      </c>
      <c r="CE72" s="118">
        <v>46906.497601640003</v>
      </c>
      <c r="CF72" s="118">
        <v>50186.696601260002</v>
      </c>
      <c r="CG72" s="118">
        <v>61786.974368919997</v>
      </c>
      <c r="CH72" s="118">
        <v>50786.251093799998</v>
      </c>
      <c r="CI72" s="118">
        <v>66830.21645706</v>
      </c>
      <c r="CJ72" s="118">
        <v>79204.323296310002</v>
      </c>
      <c r="CK72" s="118">
        <v>76207.958612510003</v>
      </c>
      <c r="CL72" s="118">
        <v>76334.357241759993</v>
      </c>
      <c r="CM72" s="118">
        <v>78560.039860239995</v>
      </c>
      <c r="CN72" s="118">
        <v>76623.477960549993</v>
      </c>
      <c r="CO72" s="118">
        <v>73918.638123869998</v>
      </c>
      <c r="CP72" s="118">
        <v>79319.887746869994</v>
      </c>
      <c r="CQ72" s="118">
        <v>83014.721977249996</v>
      </c>
      <c r="CR72" s="118">
        <v>78112.25792253</v>
      </c>
      <c r="CS72" s="118">
        <v>68605.345708420005</v>
      </c>
      <c r="CT72" s="118">
        <v>69458.946459769999</v>
      </c>
      <c r="CU72" s="118">
        <v>66825.473180300003</v>
      </c>
      <c r="CV72" s="118">
        <v>66886.409889939998</v>
      </c>
      <c r="CW72" s="118">
        <v>72539.518203030006</v>
      </c>
      <c r="CX72" s="118">
        <v>63160.570281439999</v>
      </c>
      <c r="CY72" s="118">
        <v>76129.329517079997</v>
      </c>
      <c r="CZ72" s="118">
        <v>76413.136644149999</v>
      </c>
      <c r="DA72" s="118">
        <v>101735.80804474</v>
      </c>
      <c r="DB72" s="118">
        <v>118413.81140904</v>
      </c>
      <c r="DC72" s="118">
        <v>112082.27261907001</v>
      </c>
      <c r="DD72" s="118">
        <v>127985.92504492</v>
      </c>
      <c r="DE72" s="118">
        <v>96779.46709459</v>
      </c>
      <c r="DF72" s="118">
        <v>111988.14364638001</v>
      </c>
      <c r="DG72" s="118">
        <v>103653.75241845001</v>
      </c>
    </row>
    <row r="73" spans="1:112" s="30" customFormat="1" x14ac:dyDescent="0.3">
      <c r="A73" s="31" t="s">
        <v>26</v>
      </c>
      <c r="B73" s="27">
        <v>4743.5537290900002</v>
      </c>
      <c r="C73" s="27">
        <v>6011.5215387300004</v>
      </c>
      <c r="D73" s="27">
        <v>7312.7786920499993</v>
      </c>
      <c r="E73" s="27">
        <v>6457.5581282400008</v>
      </c>
      <c r="F73" s="27">
        <v>6646.4375369100007</v>
      </c>
      <c r="G73" s="27">
        <v>6069.7680468299995</v>
      </c>
      <c r="H73" s="27">
        <v>6016.8463764799963</v>
      </c>
      <c r="I73" s="27">
        <v>6933.1503838500012</v>
      </c>
      <c r="J73" s="29">
        <v>7607.7240239700013</v>
      </c>
      <c r="K73" s="29">
        <v>8067.6914720100003</v>
      </c>
      <c r="L73" s="29">
        <v>7490.8163352900001</v>
      </c>
      <c r="M73" s="29">
        <v>6865.8543724399997</v>
      </c>
      <c r="N73" s="28">
        <v>7111.3784832399997</v>
      </c>
      <c r="O73" s="28">
        <v>6979.4935881600004</v>
      </c>
      <c r="P73" s="29">
        <v>7322.4946369299996</v>
      </c>
      <c r="Q73" s="118">
        <v>6357.9429429000002</v>
      </c>
      <c r="R73" s="29">
        <v>5772.1124132799996</v>
      </c>
      <c r="S73" s="29">
        <v>5404.85267122</v>
      </c>
      <c r="T73" s="29">
        <v>6605.9375653099996</v>
      </c>
      <c r="U73" s="29">
        <v>6058.2174733600004</v>
      </c>
      <c r="V73" s="29">
        <v>5666.1231917599998</v>
      </c>
      <c r="W73" s="29">
        <v>5323.2299383700001</v>
      </c>
      <c r="X73" s="29">
        <v>5275.88348709</v>
      </c>
      <c r="Y73" s="29">
        <v>5537.4973184099999</v>
      </c>
      <c r="Z73" s="29">
        <v>5435.5913761299998</v>
      </c>
      <c r="AA73" s="29">
        <v>5431.3865891699998</v>
      </c>
      <c r="AB73" s="29">
        <v>5508.3499031800002</v>
      </c>
      <c r="AC73" s="29">
        <v>5415.88332446</v>
      </c>
      <c r="AD73" s="29">
        <v>5481.92931443</v>
      </c>
      <c r="AE73" s="29">
        <v>4841.0532397699999</v>
      </c>
      <c r="AF73" s="29">
        <v>3867.0253056299998</v>
      </c>
      <c r="AG73" s="29">
        <v>3907.0173117999998</v>
      </c>
      <c r="AH73" s="29">
        <v>3593.9995689100001</v>
      </c>
      <c r="AI73" s="29">
        <v>4597.2412525199998</v>
      </c>
      <c r="AJ73" s="29">
        <v>4066.3992555200002</v>
      </c>
      <c r="AK73" s="29">
        <v>3980.0331559699998</v>
      </c>
      <c r="AL73" s="29">
        <v>3981.5403835900001</v>
      </c>
      <c r="AM73" s="29">
        <v>3926.1001383900002</v>
      </c>
      <c r="AN73" s="29">
        <v>4688.5607588900002</v>
      </c>
      <c r="AO73" s="29">
        <v>3978.8572866899999</v>
      </c>
      <c r="AP73" s="29">
        <v>3988.6801375</v>
      </c>
      <c r="AQ73" s="29">
        <v>3995.4072130200002</v>
      </c>
      <c r="AR73" s="29">
        <v>3382.5805589900001</v>
      </c>
      <c r="AS73" s="29">
        <v>3406.5484424699998</v>
      </c>
      <c r="AT73" s="29">
        <v>3449.2978096100001</v>
      </c>
      <c r="AU73" s="29">
        <v>3975.5774036799999</v>
      </c>
      <c r="AV73" s="29">
        <v>3536.1432106000002</v>
      </c>
      <c r="AW73" s="29">
        <v>3617.20196175</v>
      </c>
      <c r="AX73" s="29">
        <v>3555.0207979900001</v>
      </c>
      <c r="AY73" s="29">
        <v>3972.3494577400002</v>
      </c>
      <c r="AZ73" s="29">
        <v>3467.5378356599999</v>
      </c>
      <c r="BA73" s="29">
        <v>3648.17021841</v>
      </c>
      <c r="BB73" s="29">
        <v>3684.4468212000002</v>
      </c>
      <c r="BC73" s="29">
        <v>3631.3549346700001</v>
      </c>
      <c r="BD73" s="29">
        <v>725.30095400000005</v>
      </c>
      <c r="BE73" s="29">
        <v>573.91676806999999</v>
      </c>
      <c r="BF73" s="29">
        <v>619.3103946</v>
      </c>
      <c r="BG73" s="29">
        <v>571.77348716999995</v>
      </c>
      <c r="BH73" s="29">
        <v>592.24074264000001</v>
      </c>
      <c r="BI73" s="29">
        <v>578.38896325999997</v>
      </c>
      <c r="BJ73" s="29">
        <v>505.21219879</v>
      </c>
      <c r="BK73" s="29">
        <v>582.90643031000002</v>
      </c>
      <c r="BL73" s="29">
        <v>604.65479182000001</v>
      </c>
      <c r="BM73" s="29">
        <v>543.40988302999995</v>
      </c>
      <c r="BN73" s="29">
        <v>524.30452929</v>
      </c>
      <c r="BO73" s="29">
        <v>487.03517205000003</v>
      </c>
      <c r="BP73" s="29">
        <v>615.68444679000004</v>
      </c>
      <c r="BQ73" s="29">
        <v>1097.14177711</v>
      </c>
      <c r="BR73" s="29">
        <v>1736.0218278100001</v>
      </c>
      <c r="BS73" s="29">
        <v>1796.2814176700001</v>
      </c>
      <c r="BT73" s="29">
        <v>966.01949262999995</v>
      </c>
      <c r="BU73" s="29">
        <v>998.21909318999997</v>
      </c>
      <c r="BV73" s="29">
        <v>763.07885653000005</v>
      </c>
      <c r="BW73" s="29">
        <v>663.72521204999998</v>
      </c>
      <c r="BX73" s="29">
        <v>662.60440194</v>
      </c>
      <c r="BY73" s="29">
        <v>530.01966795999999</v>
      </c>
      <c r="BZ73" s="29">
        <v>510.14771689000003</v>
      </c>
      <c r="CA73" s="29">
        <v>501.55252956999999</v>
      </c>
      <c r="CB73" s="29">
        <v>801.08962006000002</v>
      </c>
      <c r="CC73" s="29">
        <v>842.17344701000002</v>
      </c>
      <c r="CD73" s="29">
        <v>825.56887013000005</v>
      </c>
      <c r="CE73" s="29">
        <v>951.94159563000005</v>
      </c>
      <c r="CF73" s="29">
        <v>871.20678856999996</v>
      </c>
      <c r="CG73" s="29">
        <v>1055.3181655799999</v>
      </c>
      <c r="CH73" s="29">
        <v>1201.9606313199999</v>
      </c>
      <c r="CI73" s="29">
        <v>1200.2748266900001</v>
      </c>
      <c r="CJ73" s="29">
        <v>876.37998728000002</v>
      </c>
      <c r="CK73" s="29">
        <v>1135.2809331200001</v>
      </c>
      <c r="CL73" s="29">
        <v>1167.4564285199999</v>
      </c>
      <c r="CM73" s="29">
        <v>1452.31770615</v>
      </c>
      <c r="CN73" s="29">
        <v>1499.0825678799999</v>
      </c>
      <c r="CO73" s="29">
        <v>1510.62410247</v>
      </c>
      <c r="CP73" s="29">
        <v>1534.53985803</v>
      </c>
      <c r="CQ73" s="29">
        <v>833.35584824</v>
      </c>
      <c r="CR73" s="29">
        <v>750.79430257000001</v>
      </c>
      <c r="CS73" s="29">
        <v>825.10692811000001</v>
      </c>
      <c r="CT73" s="29">
        <v>555.04632458000003</v>
      </c>
      <c r="CU73" s="29">
        <v>645.77921271000002</v>
      </c>
      <c r="CV73" s="29">
        <v>536.80283237000003</v>
      </c>
      <c r="CW73" s="29">
        <v>439.20290469999998</v>
      </c>
      <c r="CX73" s="29">
        <v>602.18864560999998</v>
      </c>
      <c r="CY73" s="29">
        <v>320.88627846000003</v>
      </c>
      <c r="CZ73" s="29">
        <v>569.10499565999999</v>
      </c>
      <c r="DA73" s="29">
        <v>430.85079609000002</v>
      </c>
      <c r="DB73" s="29">
        <v>426.93742505</v>
      </c>
      <c r="DC73" s="29">
        <v>601.62796834000005</v>
      </c>
      <c r="DD73" s="29">
        <v>423.66717210000002</v>
      </c>
      <c r="DE73" s="29">
        <v>763.33058384000003</v>
      </c>
      <c r="DF73" s="29">
        <v>1046.0296641100001</v>
      </c>
      <c r="DG73" s="29">
        <v>1430.0796001799999</v>
      </c>
    </row>
    <row r="74" spans="1:112" s="40" customFormat="1" x14ac:dyDescent="0.3">
      <c r="A74" s="33" t="s">
        <v>27</v>
      </c>
      <c r="B74" s="39">
        <f t="shared" ref="B74:I74" si="17">IFERROR(100*(B73/B72),0)</f>
        <v>19.591686181364445</v>
      </c>
      <c r="C74" s="39">
        <f t="shared" si="17"/>
        <v>21.012310091905718</v>
      </c>
      <c r="D74" s="39">
        <f t="shared" si="17"/>
        <v>20.612188451303137</v>
      </c>
      <c r="E74" s="39">
        <f t="shared" si="17"/>
        <v>17.807388361700617</v>
      </c>
      <c r="F74" s="39">
        <f t="shared" si="17"/>
        <v>18.628036694555554</v>
      </c>
      <c r="G74" s="39">
        <f t="shared" si="17"/>
        <v>21.89419637339585</v>
      </c>
      <c r="H74" s="39">
        <f t="shared" si="17"/>
        <v>21.299012232821479</v>
      </c>
      <c r="I74" s="39">
        <f t="shared" si="17"/>
        <v>21.566092607792154</v>
      </c>
      <c r="J74" s="45">
        <v>20.83333241154201</v>
      </c>
      <c r="K74" s="45">
        <v>21.868773251046399</v>
      </c>
      <c r="L74" s="45">
        <v>22.000356680827199</v>
      </c>
      <c r="M74" s="39">
        <v>22.610690349327498</v>
      </c>
      <c r="N74" s="45">
        <v>17.407337031272501</v>
      </c>
      <c r="O74" s="45">
        <v>16.108649317240602</v>
      </c>
      <c r="P74" s="45">
        <v>18.14652567653</v>
      </c>
      <c r="Q74" s="39">
        <v>18.3170590158633</v>
      </c>
      <c r="R74" s="45">
        <v>16.108162791014902</v>
      </c>
      <c r="S74" s="45">
        <v>16.6055193061881</v>
      </c>
      <c r="T74" s="45">
        <v>18.8571629236957</v>
      </c>
      <c r="U74" s="45">
        <v>17.578096133727399</v>
      </c>
      <c r="V74" s="45">
        <v>14.0097030905966</v>
      </c>
      <c r="W74" s="45">
        <v>14.4415843373584</v>
      </c>
      <c r="X74" s="45">
        <v>13.849094121161899</v>
      </c>
      <c r="Y74" s="45">
        <v>18.290340112961101</v>
      </c>
      <c r="Z74" s="45">
        <v>16.790317372847099</v>
      </c>
      <c r="AA74" s="45">
        <v>17.112755658058202</v>
      </c>
      <c r="AB74" s="45">
        <v>16.960845548588399</v>
      </c>
      <c r="AC74" s="45">
        <v>17.1568731554602</v>
      </c>
      <c r="AD74" s="45">
        <v>17.938522378054699</v>
      </c>
      <c r="AE74" s="45">
        <v>15.820774853054999</v>
      </c>
      <c r="AF74" s="45">
        <v>11.519782558432</v>
      </c>
      <c r="AG74" s="45">
        <v>11.9621868351699</v>
      </c>
      <c r="AH74" s="45">
        <v>12.367470212585999</v>
      </c>
      <c r="AI74" s="45">
        <v>15.538774164358401</v>
      </c>
      <c r="AJ74" s="45">
        <v>13.277180029716201</v>
      </c>
      <c r="AK74" s="45">
        <v>15.256629128721</v>
      </c>
      <c r="AL74" s="45">
        <v>10.881048540649999</v>
      </c>
      <c r="AM74" s="45">
        <v>10.305128825742999</v>
      </c>
      <c r="AN74" s="45">
        <v>13.034702399008101</v>
      </c>
      <c r="AO74" s="45">
        <v>11.4416402438763</v>
      </c>
      <c r="AP74" s="45">
        <v>10.287976422084601</v>
      </c>
      <c r="AQ74" s="45">
        <v>11.462503667887299</v>
      </c>
      <c r="AR74" s="45">
        <v>7.9968770148235002</v>
      </c>
      <c r="AS74" s="45">
        <v>7.7485596751692496</v>
      </c>
      <c r="AT74" s="45">
        <v>8.4190229810107393</v>
      </c>
      <c r="AU74" s="45">
        <v>8.9264342720758894</v>
      </c>
      <c r="AV74" s="45">
        <v>7.3863245506780197</v>
      </c>
      <c r="AW74" s="45">
        <v>9.1082801951663299</v>
      </c>
      <c r="AX74" s="45">
        <v>7.4601478453354604</v>
      </c>
      <c r="AY74" s="45">
        <v>6.8907030876104303</v>
      </c>
      <c r="AZ74" s="45">
        <v>6.8020544594963699</v>
      </c>
      <c r="BA74" s="45">
        <v>7.90964615924835</v>
      </c>
      <c r="BB74" s="45">
        <v>6.5420816227832903</v>
      </c>
      <c r="BC74" s="45">
        <v>7.4238544899817196</v>
      </c>
      <c r="BD74" s="45">
        <v>1.4015578083112099</v>
      </c>
      <c r="BE74" s="45">
        <v>1.06144677193807</v>
      </c>
      <c r="BF74" s="45">
        <v>1.2086979956016899</v>
      </c>
      <c r="BG74" s="45">
        <v>1.15824036166765</v>
      </c>
      <c r="BH74" s="45">
        <v>1.0662135950767</v>
      </c>
      <c r="BI74" s="45">
        <v>1.2285498571920801</v>
      </c>
      <c r="BJ74" s="45">
        <v>0.80584303881483599</v>
      </c>
      <c r="BK74" s="45">
        <v>1.4003637383668524</v>
      </c>
      <c r="BL74" s="45">
        <v>1.6037961990721801</v>
      </c>
      <c r="BM74" s="45">
        <v>1.35278641287117</v>
      </c>
      <c r="BN74" s="45">
        <v>1.2517558609072199</v>
      </c>
      <c r="BO74" s="45">
        <v>1.1525356762882999</v>
      </c>
      <c r="BP74" s="45">
        <v>1.0079605266587499</v>
      </c>
      <c r="BQ74" s="45">
        <v>1.8653989622893901</v>
      </c>
      <c r="BR74" s="45">
        <v>2.79619531614081</v>
      </c>
      <c r="BS74" s="45">
        <v>2.5620695996113398</v>
      </c>
      <c r="BT74" s="45">
        <v>1.0661785313932399</v>
      </c>
      <c r="BU74" s="45">
        <v>1.7210708318806101</v>
      </c>
      <c r="BV74" s="45">
        <v>1.35833114877033</v>
      </c>
      <c r="BW74" s="45">
        <v>1.20861496413356</v>
      </c>
      <c r="BX74" s="45">
        <v>1.02651536907973</v>
      </c>
      <c r="BY74" s="45">
        <v>0.97168008601186395</v>
      </c>
      <c r="BZ74" s="45">
        <v>0.89259936524832495</v>
      </c>
      <c r="CA74" s="45">
        <v>0.91092802416421603</v>
      </c>
      <c r="CB74" s="45">
        <v>1.43730295279069</v>
      </c>
      <c r="CC74" s="45">
        <v>1.51293544532956</v>
      </c>
      <c r="CD74" s="45">
        <v>1.5049027562626101</v>
      </c>
      <c r="CE74" s="45">
        <v>2.0294450541042299</v>
      </c>
      <c r="CF74" s="45">
        <v>1.73593172607445</v>
      </c>
      <c r="CG74" s="45">
        <v>1.70799456739679</v>
      </c>
      <c r="CH74" s="45">
        <v>2.3667047782283301</v>
      </c>
      <c r="CI74" s="45">
        <v>1.7960061934876499</v>
      </c>
      <c r="CJ74" s="45">
        <v>1.1064799884740999</v>
      </c>
      <c r="CK74" s="45">
        <v>1.4897143996370401</v>
      </c>
      <c r="CL74" s="45">
        <v>1.5293983871804</v>
      </c>
      <c r="CM74" s="45">
        <v>1.84867231321891</v>
      </c>
      <c r="CN74" s="45">
        <v>1.95642720453359</v>
      </c>
      <c r="CO74" s="45">
        <v>2.0436308633535099</v>
      </c>
      <c r="CP74" s="45">
        <v>1.93462182262172</v>
      </c>
      <c r="CQ74" s="45">
        <v>1.0038651318598399</v>
      </c>
      <c r="CR74" s="45">
        <v>0.96117347332939795</v>
      </c>
      <c r="CS74" s="45">
        <v>1.2026860583383601</v>
      </c>
      <c r="CT74" s="45">
        <v>0.79909983215981795</v>
      </c>
      <c r="CU74" s="45">
        <v>0.96636683883650298</v>
      </c>
      <c r="CV74" s="45">
        <v>0.80255889537694802</v>
      </c>
      <c r="CW74" s="45">
        <v>0.605467082743396</v>
      </c>
      <c r="CX74" s="45">
        <v>0.95342496580806702</v>
      </c>
      <c r="CY74" s="45">
        <v>0.42150151655809298</v>
      </c>
      <c r="CZ74" s="45">
        <v>0.74477376620498903</v>
      </c>
      <c r="DA74" s="45">
        <v>0.42349965500890902</v>
      </c>
      <c r="DB74" s="45">
        <v>0.36054698347240799</v>
      </c>
      <c r="DC74" s="45">
        <v>0.536773527411183</v>
      </c>
      <c r="DD74" s="45">
        <v>0.33102637805782398</v>
      </c>
      <c r="DE74" s="45">
        <v>0.78873195601907897</v>
      </c>
      <c r="DF74" s="45">
        <v>0.93405393647116897</v>
      </c>
      <c r="DG74" s="45">
        <v>1.37966987862318</v>
      </c>
    </row>
    <row r="75" spans="1:112" s="55" customFormat="1" x14ac:dyDescent="0.3">
      <c r="A75" s="131" t="s">
        <v>39</v>
      </c>
      <c r="B75" s="143">
        <f t="shared" ref="B75:I75" si="18">B66+B71+B72</f>
        <v>601678.81237859011</v>
      </c>
      <c r="C75" s="143">
        <f t="shared" si="18"/>
        <v>870313.86500698968</v>
      </c>
      <c r="D75" s="143">
        <f t="shared" si="18"/>
        <v>895226.12920471001</v>
      </c>
      <c r="E75" s="143">
        <f t="shared" si="18"/>
        <v>877709.76617985975</v>
      </c>
      <c r="F75" s="143">
        <f t="shared" si="18"/>
        <v>882224.60391617054</v>
      </c>
      <c r="G75" s="143">
        <f t="shared" si="18"/>
        <v>869076.90215124958</v>
      </c>
      <c r="H75" s="143">
        <f t="shared" si="18"/>
        <v>862623.75375271041</v>
      </c>
      <c r="I75" s="143">
        <f t="shared" si="18"/>
        <v>852795.77654124028</v>
      </c>
      <c r="J75" s="50">
        <v>877686.2104135605</v>
      </c>
      <c r="K75" s="50">
        <v>872366.92074714997</v>
      </c>
      <c r="L75" s="50">
        <v>864743.86696549004</v>
      </c>
      <c r="M75" s="143">
        <v>889951.56129223004</v>
      </c>
      <c r="N75" s="143">
        <v>923992.61002960999</v>
      </c>
      <c r="O75" s="144">
        <v>894820.92508256994</v>
      </c>
      <c r="P75" s="144">
        <v>886922.91277755005</v>
      </c>
      <c r="Q75" s="144">
        <v>880865.62819006003</v>
      </c>
      <c r="R75" s="144">
        <v>874361.69932881999</v>
      </c>
      <c r="S75" s="144">
        <v>878149.36511537002</v>
      </c>
      <c r="T75" s="144">
        <v>894573.01631511003</v>
      </c>
      <c r="U75" s="144">
        <v>978853.62608700001</v>
      </c>
      <c r="V75" s="144">
        <v>992439.01747573004</v>
      </c>
      <c r="W75" s="144">
        <v>978565.60349373997</v>
      </c>
      <c r="X75" s="144">
        <v>969578.87309928006</v>
      </c>
      <c r="Y75" s="144">
        <v>926245.16321366001</v>
      </c>
      <c r="Z75" s="144">
        <v>932899.49141274998</v>
      </c>
      <c r="AA75" s="144">
        <v>905122.86108939</v>
      </c>
      <c r="AB75" s="144">
        <v>896292.13450567995</v>
      </c>
      <c r="AC75" s="144">
        <v>867449.83167995</v>
      </c>
      <c r="AD75" s="144">
        <v>872617.89608412003</v>
      </c>
      <c r="AE75" s="144">
        <v>873911.5668114</v>
      </c>
      <c r="AF75" s="144">
        <v>877214.9729852</v>
      </c>
      <c r="AG75" s="144">
        <v>878390.93351693999</v>
      </c>
      <c r="AH75" s="144">
        <v>834215.19350627996</v>
      </c>
      <c r="AI75" s="144">
        <v>863571.23707307002</v>
      </c>
      <c r="AJ75" s="144">
        <v>843005.40823124</v>
      </c>
      <c r="AK75" s="144">
        <v>848037.69569349999</v>
      </c>
      <c r="AL75" s="144">
        <v>912935.91776602995</v>
      </c>
      <c r="AM75" s="144">
        <v>895999.25828842004</v>
      </c>
      <c r="AN75" s="144">
        <v>987919.45101685997</v>
      </c>
      <c r="AO75" s="144">
        <v>936539.79465895996</v>
      </c>
      <c r="AP75" s="144">
        <v>944635.53100971004</v>
      </c>
      <c r="AQ75" s="144">
        <v>919754.44545673998</v>
      </c>
      <c r="AR75" s="144">
        <v>982865.38433681999</v>
      </c>
      <c r="AS75" s="144">
        <v>974207.78145334998</v>
      </c>
      <c r="AT75" s="144">
        <v>970087.45132862998</v>
      </c>
      <c r="AU75" s="144">
        <v>954061.22449555004</v>
      </c>
      <c r="AV75" s="144">
        <v>935036.88535857003</v>
      </c>
      <c r="AW75" s="144">
        <v>901279.27147358004</v>
      </c>
      <c r="AX75" s="144">
        <v>907979.87207497004</v>
      </c>
      <c r="AY75" s="144">
        <v>915948.65555117</v>
      </c>
      <c r="AZ75" s="144">
        <v>911034.03313492006</v>
      </c>
      <c r="BA75" s="144">
        <v>914029.24232542003</v>
      </c>
      <c r="BB75" s="144">
        <v>913830.60593811003</v>
      </c>
      <c r="BC75" s="144">
        <v>884816.91896654002</v>
      </c>
      <c r="BD75" s="144">
        <v>883471.31597422995</v>
      </c>
      <c r="BE75" s="144">
        <v>886124.75224675005</v>
      </c>
      <c r="BF75" s="144">
        <v>867882.40870552999</v>
      </c>
      <c r="BG75" s="144">
        <v>849554.55728347006</v>
      </c>
      <c r="BH75" s="144">
        <v>865194.62794448005</v>
      </c>
      <c r="BI75" s="144">
        <v>851380.89717180002</v>
      </c>
      <c r="BJ75" s="144">
        <v>911892.46162861004</v>
      </c>
      <c r="BK75" s="144">
        <v>830956.62337929034</v>
      </c>
      <c r="BL75" s="144">
        <v>798187.94076052995</v>
      </c>
      <c r="BM75" s="144">
        <v>797581.31460179004</v>
      </c>
      <c r="BN75" s="144">
        <v>796080.27089754003</v>
      </c>
      <c r="BO75" s="144">
        <v>832693.04073514999</v>
      </c>
      <c r="BP75" s="144">
        <v>1049371.59458318</v>
      </c>
      <c r="BQ75" s="144">
        <v>1018586.43524522</v>
      </c>
      <c r="BR75" s="144">
        <v>1029438.66181572</v>
      </c>
      <c r="BS75" s="144">
        <v>1058386.6575067099</v>
      </c>
      <c r="BT75" s="144">
        <v>1074951.47045682</v>
      </c>
      <c r="BU75" s="144">
        <v>1037910.78241345</v>
      </c>
      <c r="BV75" s="144">
        <v>1074984.7495307699</v>
      </c>
      <c r="BW75" s="144">
        <v>1077664.93309459</v>
      </c>
      <c r="BX75" s="144">
        <v>1081238.5457165299</v>
      </c>
      <c r="BY75" s="144">
        <v>1074636.9650868699</v>
      </c>
      <c r="BZ75" s="144">
        <v>1061676.4283586601</v>
      </c>
      <c r="CA75" s="144">
        <v>1068882.14132461</v>
      </c>
      <c r="CB75" s="144">
        <v>1065073.5788404201</v>
      </c>
      <c r="CC75" s="144">
        <v>1059544.6922364701</v>
      </c>
      <c r="CD75" s="144">
        <v>1045353.0708729801</v>
      </c>
      <c r="CE75" s="144">
        <v>1056357.5548767301</v>
      </c>
      <c r="CF75" s="144">
        <v>1059878.7117225099</v>
      </c>
      <c r="CG75" s="144">
        <v>1133174.80255825</v>
      </c>
      <c r="CH75" s="144">
        <v>1122837.10079454</v>
      </c>
      <c r="CI75" s="144">
        <v>1135314.2486618599</v>
      </c>
      <c r="CJ75" s="144">
        <v>1169119.11306643</v>
      </c>
      <c r="CK75" s="144">
        <v>1178571.3696111699</v>
      </c>
      <c r="CL75" s="144">
        <v>1203910.6928735101</v>
      </c>
      <c r="CM75" s="170">
        <v>1210060.4679944799</v>
      </c>
      <c r="CN75" s="170">
        <v>1236670.17752824</v>
      </c>
      <c r="CO75" s="170">
        <v>1243200.3025382899</v>
      </c>
      <c r="CP75" s="170">
        <v>1243803.97281619</v>
      </c>
      <c r="CQ75" s="170">
        <v>1263488.4205881699</v>
      </c>
      <c r="CR75" s="170">
        <v>1255099.4668539099</v>
      </c>
      <c r="CS75" s="170">
        <v>1272204.6386688501</v>
      </c>
      <c r="CT75" s="170">
        <v>1285933.9151206</v>
      </c>
      <c r="CU75" s="170">
        <v>1252192.9281371301</v>
      </c>
      <c r="CV75" s="170">
        <v>1261932.6564814299</v>
      </c>
      <c r="CW75" s="170">
        <v>1285391.81999657</v>
      </c>
      <c r="CX75" s="170">
        <v>1264472.05573522</v>
      </c>
      <c r="CY75" s="170">
        <v>1303966.4699313899</v>
      </c>
      <c r="CZ75" s="170">
        <v>1329341.95880781</v>
      </c>
      <c r="DA75" s="170">
        <v>1352865.84610639</v>
      </c>
      <c r="DB75" s="170">
        <v>1373540.5456400199</v>
      </c>
      <c r="DC75" s="170">
        <v>1377678.57038307</v>
      </c>
      <c r="DD75" s="170">
        <v>1376052.79824063</v>
      </c>
      <c r="DE75" s="170">
        <v>1362081.967529</v>
      </c>
      <c r="DF75" s="170">
        <v>1402890.9483493201</v>
      </c>
      <c r="DG75" s="170">
        <v>1409497.67302729</v>
      </c>
    </row>
    <row r="76" spans="1:112" s="55" customFormat="1" x14ac:dyDescent="0.3">
      <c r="A76" s="132" t="s">
        <v>26</v>
      </c>
      <c r="B76" s="80">
        <f t="shared" ref="B76:I76" si="19">B67+B73</f>
        <v>247139.74263098999</v>
      </c>
      <c r="C76" s="80">
        <f t="shared" si="19"/>
        <v>348024.79764485004</v>
      </c>
      <c r="D76" s="80">
        <f t="shared" si="19"/>
        <v>340088.63504977012</v>
      </c>
      <c r="E76" s="80">
        <f t="shared" si="19"/>
        <v>334565.91185350012</v>
      </c>
      <c r="F76" s="80">
        <f t="shared" si="19"/>
        <v>332970.56115920009</v>
      </c>
      <c r="G76" s="80">
        <f t="shared" si="19"/>
        <v>328138.10506190994</v>
      </c>
      <c r="H76" s="80">
        <f t="shared" si="19"/>
        <v>327013.84980886994</v>
      </c>
      <c r="I76" s="80">
        <f t="shared" si="19"/>
        <v>318566.24157992</v>
      </c>
      <c r="J76" s="54">
        <v>323071.03384267003</v>
      </c>
      <c r="K76" s="125">
        <v>323059.24413041997</v>
      </c>
      <c r="L76" s="54">
        <v>316204.14621020999</v>
      </c>
      <c r="M76" s="80">
        <v>312723.58203587</v>
      </c>
      <c r="N76" s="53">
        <v>348508.69888889999</v>
      </c>
      <c r="O76" s="80">
        <v>332529.78479682998</v>
      </c>
      <c r="P76" s="80">
        <v>337208.95266285999</v>
      </c>
      <c r="Q76" s="80">
        <v>331955.45137552998</v>
      </c>
      <c r="R76" s="80">
        <v>330118.86870266998</v>
      </c>
      <c r="S76" s="80">
        <v>328495.23723417002</v>
      </c>
      <c r="T76" s="80">
        <v>337403.78531583998</v>
      </c>
      <c r="U76" s="80">
        <v>360274.71309079003</v>
      </c>
      <c r="V76" s="80">
        <v>366326.54208630999</v>
      </c>
      <c r="W76" s="80">
        <v>361275.05112561001</v>
      </c>
      <c r="X76" s="80">
        <v>367487.36305737001</v>
      </c>
      <c r="Y76" s="80">
        <v>337185.70227158</v>
      </c>
      <c r="Z76" s="80">
        <v>343269.64750371</v>
      </c>
      <c r="AA76" s="80">
        <v>320948.73403579998</v>
      </c>
      <c r="AB76" s="80">
        <v>323972.64552729001</v>
      </c>
      <c r="AC76" s="80">
        <v>312992.43644742999</v>
      </c>
      <c r="AD76" s="80">
        <v>311326.91463371</v>
      </c>
      <c r="AE76" s="80">
        <v>300806.42449136003</v>
      </c>
      <c r="AF76" s="80">
        <v>287884.32160094002</v>
      </c>
      <c r="AG76" s="80">
        <v>287402.79011633998</v>
      </c>
      <c r="AH76" s="80">
        <v>267894.01478607999</v>
      </c>
      <c r="AI76" s="80">
        <v>277891.4271416</v>
      </c>
      <c r="AJ76" s="80">
        <v>266752.72224726999</v>
      </c>
      <c r="AK76" s="80">
        <v>255324.9273375</v>
      </c>
      <c r="AL76" s="80">
        <v>268769.61976438999</v>
      </c>
      <c r="AM76" s="80">
        <v>264222.93692889001</v>
      </c>
      <c r="AN76" s="80">
        <v>302260.36080313002</v>
      </c>
      <c r="AO76" s="80">
        <v>290119.61458257999</v>
      </c>
      <c r="AP76" s="80">
        <v>290564.76727076998</v>
      </c>
      <c r="AQ76" s="80">
        <v>264727.88067357999</v>
      </c>
      <c r="AR76" s="80">
        <v>274038.7384111</v>
      </c>
      <c r="AS76" s="80">
        <v>273638.18400448002</v>
      </c>
      <c r="AT76" s="80">
        <v>243002.05056057</v>
      </c>
      <c r="AU76" s="80">
        <v>222246.94451177999</v>
      </c>
      <c r="AV76" s="80">
        <v>197701.732472</v>
      </c>
      <c r="AW76" s="80">
        <v>188381.31565289001</v>
      </c>
      <c r="AX76" s="80">
        <v>190071.45358859</v>
      </c>
      <c r="AY76" s="80">
        <v>185407.86055216001</v>
      </c>
      <c r="AZ76" s="80">
        <v>182838.76878385001</v>
      </c>
      <c r="BA76" s="80">
        <v>185660.91504843999</v>
      </c>
      <c r="BB76" s="80">
        <v>172227.99011682</v>
      </c>
      <c r="BC76" s="80">
        <v>161146.71357583001</v>
      </c>
      <c r="BD76" s="80">
        <v>150144.28127735999</v>
      </c>
      <c r="BE76" s="80">
        <v>147179.27830517999</v>
      </c>
      <c r="BF76" s="80">
        <v>131138.08506268001</v>
      </c>
      <c r="BG76" s="80">
        <v>128844.80990055</v>
      </c>
      <c r="BH76" s="80">
        <v>113543.62897049</v>
      </c>
      <c r="BI76" s="80">
        <v>110102.47716929</v>
      </c>
      <c r="BJ76" s="80">
        <v>115294.88009161</v>
      </c>
      <c r="BK76" s="80">
        <v>73811.012984310044</v>
      </c>
      <c r="BL76" s="80">
        <v>73624.505793470002</v>
      </c>
      <c r="BM76" s="80">
        <v>76336.816150779996</v>
      </c>
      <c r="BN76" s="80">
        <v>79314.263935499999</v>
      </c>
      <c r="BO76" s="80">
        <v>84464.709874709995</v>
      </c>
      <c r="BP76" s="80">
        <v>105031.18317102001</v>
      </c>
      <c r="BQ76" s="80">
        <v>107446.80665798001</v>
      </c>
      <c r="BR76" s="80">
        <v>114622.60642909</v>
      </c>
      <c r="BS76" s="80">
        <v>125914.13512375001</v>
      </c>
      <c r="BT76" s="80">
        <v>129236.48108389</v>
      </c>
      <c r="BU76" s="80">
        <v>125757.73355754001</v>
      </c>
      <c r="BV76" s="80">
        <v>125980.69969443</v>
      </c>
      <c r="BW76" s="80">
        <v>124641.28915945999</v>
      </c>
      <c r="BX76" s="80">
        <v>126147.66254660999</v>
      </c>
      <c r="BY76" s="80">
        <v>128407.14626268001</v>
      </c>
      <c r="BZ76" s="80">
        <v>123090.66411621</v>
      </c>
      <c r="CA76" s="80">
        <v>122779.20115779999</v>
      </c>
      <c r="CB76" s="80">
        <v>125839.92432334</v>
      </c>
      <c r="CC76" s="80">
        <v>126985.29601968</v>
      </c>
      <c r="CD76" s="80">
        <v>126341.46552492</v>
      </c>
      <c r="CE76" s="80">
        <v>126799.19486906</v>
      </c>
      <c r="CF76" s="80">
        <v>125047.49063085001</v>
      </c>
      <c r="CG76" s="80">
        <v>129816.96072726</v>
      </c>
      <c r="CH76" s="80">
        <v>128623.14668778</v>
      </c>
      <c r="CI76" s="80">
        <v>128929.36408779</v>
      </c>
      <c r="CJ76" s="80">
        <v>131258.16801281</v>
      </c>
      <c r="CK76" s="80">
        <v>131996.83054329999</v>
      </c>
      <c r="CL76" s="80">
        <v>134169.42771506001</v>
      </c>
      <c r="CM76" s="77">
        <v>133221.26300295</v>
      </c>
      <c r="CN76" s="77">
        <v>133450.84136173999</v>
      </c>
      <c r="CO76" s="77">
        <v>134775.25369248001</v>
      </c>
      <c r="CP76" s="77">
        <v>134528.67971914</v>
      </c>
      <c r="CQ76" s="77">
        <v>133722.02722861001</v>
      </c>
      <c r="CR76" s="77">
        <v>133602.06756575001</v>
      </c>
      <c r="CS76" s="77">
        <v>129603.33544279</v>
      </c>
      <c r="CT76" s="77">
        <v>129203.4249691</v>
      </c>
      <c r="CU76" s="77">
        <v>129803.30578485</v>
      </c>
      <c r="CV76" s="77">
        <v>121420.50788716</v>
      </c>
      <c r="CW76" s="77">
        <v>123414.8737677</v>
      </c>
      <c r="CX76" s="77">
        <v>123406.20404918</v>
      </c>
      <c r="CY76" s="77">
        <v>123804.93867613</v>
      </c>
      <c r="CZ76" s="77">
        <v>121989.4657989</v>
      </c>
      <c r="DA76" s="77">
        <v>119973.2272863</v>
      </c>
      <c r="DB76" s="77">
        <v>117411.36703326</v>
      </c>
      <c r="DC76" s="77">
        <v>119384.57244447</v>
      </c>
      <c r="DD76" s="77">
        <v>119785.16769319</v>
      </c>
      <c r="DE76" s="77">
        <v>98200.879658659993</v>
      </c>
      <c r="DF76" s="77">
        <v>99674.309702660001</v>
      </c>
      <c r="DG76" s="77">
        <v>99861.064605249994</v>
      </c>
    </row>
    <row r="77" spans="1:112" s="40" customFormat="1" x14ac:dyDescent="0.3">
      <c r="A77" s="145" t="s">
        <v>27</v>
      </c>
      <c r="B77" s="146">
        <f t="shared" ref="B77:I77" si="20">IFERROR(100*(B76/B75),0)</f>
        <v>41.075028328483668</v>
      </c>
      <c r="C77" s="146">
        <f t="shared" si="20"/>
        <v>39.988423905214354</v>
      </c>
      <c r="D77" s="146">
        <f t="shared" si="20"/>
        <v>37.989131902561184</v>
      </c>
      <c r="E77" s="146">
        <f t="shared" si="20"/>
        <v>38.11805732886662</v>
      </c>
      <c r="F77" s="146">
        <f t="shared" si="20"/>
        <v>37.742153152513886</v>
      </c>
      <c r="G77" s="146">
        <f t="shared" si="20"/>
        <v>37.75708504617495</v>
      </c>
      <c r="H77" s="146">
        <f t="shared" si="20"/>
        <v>37.909209940747289</v>
      </c>
      <c r="I77" s="146">
        <f t="shared" si="20"/>
        <v>37.3555135171937</v>
      </c>
      <c r="J77" s="45">
        <v>36.80940067298549</v>
      </c>
      <c r="K77" s="39">
        <v>37.032495896764601</v>
      </c>
      <c r="L77" s="45">
        <v>36.566220159480899</v>
      </c>
      <c r="M77" s="146">
        <v>35.139393607196801</v>
      </c>
      <c r="N77" s="146">
        <v>37.717693313340703</v>
      </c>
      <c r="O77" s="149">
        <v>37.161601330025398</v>
      </c>
      <c r="P77" s="149">
        <v>38.020097102557997</v>
      </c>
      <c r="Q77" s="149">
        <v>37.685140701608297</v>
      </c>
      <c r="R77" s="149">
        <v>37.755412772091603</v>
      </c>
      <c r="S77" s="149">
        <v>37.407672348657101</v>
      </c>
      <c r="T77" s="149">
        <v>37.716740742489698</v>
      </c>
      <c r="U77" s="149">
        <v>36.805780097173503</v>
      </c>
      <c r="V77" s="149">
        <v>36.911743254317201</v>
      </c>
      <c r="W77" s="149">
        <v>36.9188381275371</v>
      </c>
      <c r="X77" s="149">
        <v>37.901750260160703</v>
      </c>
      <c r="Y77" s="149">
        <v>36.403504780710001</v>
      </c>
      <c r="Z77" s="149">
        <v>36.795994709341599</v>
      </c>
      <c r="AA77" s="149">
        <v>35.459134647147401</v>
      </c>
      <c r="AB77" s="149">
        <v>36.1458762221501</v>
      </c>
      <c r="AC77" s="149">
        <v>36.081906413108896</v>
      </c>
      <c r="AD77" s="149">
        <v>35.677346984377898</v>
      </c>
      <c r="AE77" s="149">
        <v>34.420693799591</v>
      </c>
      <c r="AF77" s="149">
        <v>32.817989941651099</v>
      </c>
      <c r="AG77" s="149">
        <v>32.719234585633103</v>
      </c>
      <c r="AH77" s="149">
        <v>32.1132984476221</v>
      </c>
      <c r="AI77" s="149">
        <v>32.179328723761799</v>
      </c>
      <c r="AJ77" s="149">
        <v>31.643061793276001</v>
      </c>
      <c r="AK77" s="149">
        <v>30.1077332569165</v>
      </c>
      <c r="AL77" s="149">
        <v>29.4401408175586</v>
      </c>
      <c r="AM77" s="149">
        <v>29.489191479200699</v>
      </c>
      <c r="AN77" s="149">
        <v>30.5956483083732</v>
      </c>
      <c r="AO77" s="149">
        <v>30.977820295209899</v>
      </c>
      <c r="AP77" s="149">
        <v>30.759457773114701</v>
      </c>
      <c r="AQ77" s="149">
        <v>28.782451879546901</v>
      </c>
      <c r="AR77" s="149">
        <v>27.881614591199099</v>
      </c>
      <c r="AS77" s="149">
        <v>28.0882773894763</v>
      </c>
      <c r="AT77" s="149">
        <v>25.0494994268563</v>
      </c>
      <c r="AU77" s="149">
        <v>23.294830437039401</v>
      </c>
      <c r="AV77" s="149">
        <v>21.1437362063193</v>
      </c>
      <c r="AW77" s="149">
        <v>20.901547568589798</v>
      </c>
      <c r="AX77" s="149">
        <v>20.933443508414701</v>
      </c>
      <c r="AY77" s="149">
        <v>20.242167443391399</v>
      </c>
      <c r="AZ77" s="149">
        <v>20.069367568486001</v>
      </c>
      <c r="BA77" s="149">
        <v>20.312360529745501</v>
      </c>
      <c r="BB77" s="149">
        <v>18.846817889188099</v>
      </c>
      <c r="BC77" s="149">
        <v>18.2124358295554</v>
      </c>
      <c r="BD77" s="149">
        <v>16.994811100549601</v>
      </c>
      <c r="BE77" s="149">
        <v>16.609318036993098</v>
      </c>
      <c r="BF77" s="149">
        <v>15.1101213421615</v>
      </c>
      <c r="BG77" s="149">
        <v>15.1661607598861</v>
      </c>
      <c r="BH77" s="149">
        <v>13.1234782675715</v>
      </c>
      <c r="BI77" s="149">
        <v>12.9322231136544</v>
      </c>
      <c r="BJ77" s="149">
        <v>12.643473319836099</v>
      </c>
      <c r="BK77" s="149">
        <v>8.8826553525910104</v>
      </c>
      <c r="BL77" s="149">
        <v>9.2239561679319593</v>
      </c>
      <c r="BM77" s="149">
        <v>9.5710386832335494</v>
      </c>
      <c r="BN77" s="149">
        <v>9.9630988023453</v>
      </c>
      <c r="BO77" s="149">
        <v>10.1435589998614</v>
      </c>
      <c r="BP77" s="149">
        <v>10.008960001698901</v>
      </c>
      <c r="BQ77" s="149">
        <v>10.548619433765801</v>
      </c>
      <c r="BR77" s="149">
        <v>11.1344765531653</v>
      </c>
      <c r="BS77" s="149">
        <v>11.8967991735999</v>
      </c>
      <c r="BT77" s="149">
        <v>12.0225409830798</v>
      </c>
      <c r="BU77" s="149">
        <v>12.116430013870399</v>
      </c>
      <c r="BV77" s="149">
        <v>11.719301110961901</v>
      </c>
      <c r="BW77" s="149">
        <v>11.5658666559321</v>
      </c>
      <c r="BX77" s="149">
        <v>11.6669594370605</v>
      </c>
      <c r="BY77" s="149">
        <v>11.948886036346201</v>
      </c>
      <c r="BZ77" s="149">
        <v>11.5939904879029</v>
      </c>
      <c r="CA77" s="149">
        <v>11.4866921628652</v>
      </c>
      <c r="CB77" s="149">
        <v>11.815139049862299</v>
      </c>
      <c r="CC77" s="149">
        <v>11.984892845967799</v>
      </c>
      <c r="CD77" s="149">
        <v>12.0860089327916</v>
      </c>
      <c r="CE77" s="149">
        <v>12.003435227370201</v>
      </c>
      <c r="CF77" s="149">
        <v>11.7982830721851</v>
      </c>
      <c r="CG77" s="149">
        <v>11.4560401832256</v>
      </c>
      <c r="CH77" s="149">
        <v>11.4551920841201</v>
      </c>
      <c r="CI77" s="149">
        <v>11.356271115222301</v>
      </c>
      <c r="CJ77" s="149">
        <v>11.2270996638263</v>
      </c>
      <c r="CK77" s="149">
        <v>11.199731636688901</v>
      </c>
      <c r="CL77" s="149">
        <v>11.144466820443499</v>
      </c>
      <c r="CM77" s="147">
        <v>11.0094715534131</v>
      </c>
      <c r="CN77" s="147">
        <v>10.791142520188499</v>
      </c>
      <c r="CO77" s="147">
        <v>10.84099267168</v>
      </c>
      <c r="CP77" s="147">
        <v>10.8159069000675</v>
      </c>
      <c r="CQ77" s="147">
        <v>10.5835577952001</v>
      </c>
      <c r="CR77" s="147">
        <v>10.644739408633701</v>
      </c>
      <c r="CS77" s="147">
        <v>10.187302537931201</v>
      </c>
      <c r="CT77" s="147">
        <v>10.0474389430022</v>
      </c>
      <c r="CU77" s="147">
        <v>10.3660788100725</v>
      </c>
      <c r="CV77" s="147">
        <v>9.6217898208379395</v>
      </c>
      <c r="CW77" s="147">
        <v>9.6013427071621908</v>
      </c>
      <c r="CX77" s="147">
        <v>9.7595042523439695</v>
      </c>
      <c r="CY77" s="147">
        <v>9.4944878975794609</v>
      </c>
      <c r="CZ77" s="147">
        <v>9.1766806118347102</v>
      </c>
      <c r="DA77" s="147">
        <v>8.8680801301613492</v>
      </c>
      <c r="DB77" s="147">
        <v>8.5480816278743692</v>
      </c>
      <c r="DC77" s="147">
        <v>8.6656332624288801</v>
      </c>
      <c r="DD77" s="147">
        <v>8.7049834022606394</v>
      </c>
      <c r="DE77" s="147">
        <v>7.2096160142850696</v>
      </c>
      <c r="DF77" s="147">
        <v>7.1049221480785496</v>
      </c>
      <c r="DG77" s="147">
        <v>7.0848690647903299</v>
      </c>
    </row>
    <row r="79" spans="1:112" x14ac:dyDescent="0.3">
      <c r="A79" s="150" t="s">
        <v>40</v>
      </c>
    </row>
    <row r="80" spans="1:112" x14ac:dyDescent="0.3">
      <c r="B80" s="30"/>
      <c r="C80" s="30"/>
      <c r="D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30"/>
      <c r="BR80" s="30"/>
      <c r="BS80" s="30"/>
      <c r="BT80" s="30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30"/>
      <c r="DF80" s="30"/>
    </row>
    <row r="81" spans="1:110" ht="107.25" customHeight="1" x14ac:dyDescent="0.3">
      <c r="A81" s="206" t="s">
        <v>41</v>
      </c>
      <c r="B81" s="206"/>
      <c r="C81" s="206"/>
      <c r="D81" s="206"/>
      <c r="E81" s="206"/>
      <c r="F81" s="206"/>
      <c r="G81" s="206"/>
      <c r="H81" s="206"/>
      <c r="I81" s="206"/>
      <c r="M81" s="15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  <c r="AA81" s="174"/>
      <c r="AB81" s="174"/>
      <c r="AC81" s="174"/>
      <c r="AD81" s="174"/>
      <c r="AE81" s="174"/>
      <c r="AF81" s="174"/>
      <c r="AG81" s="174"/>
      <c r="AH81" s="174"/>
      <c r="AI81" s="174"/>
      <c r="AJ81" s="174"/>
      <c r="AK81" s="174"/>
      <c r="AL81" s="174"/>
      <c r="AM81" s="174"/>
      <c r="AN81" s="174"/>
      <c r="AO81" s="174"/>
      <c r="AP81" s="174"/>
      <c r="AQ81" s="174"/>
      <c r="AR81" s="174"/>
      <c r="AS81" s="174"/>
      <c r="AT81" s="174"/>
      <c r="AU81" s="174"/>
      <c r="AV81" s="174"/>
      <c r="AW81" s="174"/>
      <c r="AX81" s="174"/>
      <c r="AY81" s="174"/>
      <c r="AZ81" s="174"/>
      <c r="BA81" s="174"/>
      <c r="BB81" s="174"/>
      <c r="BC81" s="174"/>
      <c r="BD81" s="174"/>
      <c r="BE81" s="174"/>
      <c r="BF81" s="174"/>
      <c r="BG81" s="174"/>
      <c r="BH81" s="174"/>
      <c r="BI81" s="174"/>
      <c r="BJ81" s="174"/>
      <c r="BK81" s="174"/>
      <c r="BL81" s="174"/>
      <c r="BM81" s="174"/>
      <c r="BN81" s="174"/>
      <c r="BO81" s="174"/>
      <c r="BP81" s="174"/>
      <c r="BQ81" s="174"/>
      <c r="BR81" s="174"/>
      <c r="BS81" s="174"/>
      <c r="BT81" s="174"/>
      <c r="BU81" s="174"/>
      <c r="BV81" s="174"/>
      <c r="BW81" s="174"/>
      <c r="BX81" s="174"/>
      <c r="BY81" s="174"/>
      <c r="BZ81" s="174"/>
      <c r="CA81" s="174"/>
      <c r="CB81" s="174"/>
      <c r="CC81" s="174"/>
      <c r="CD81" s="174"/>
      <c r="CE81" s="174"/>
      <c r="CF81" s="174"/>
      <c r="CG81" s="174"/>
      <c r="CH81" s="174"/>
      <c r="CI81" s="174"/>
      <c r="CJ81" s="174"/>
      <c r="CK81" s="174"/>
      <c r="CL81" s="174"/>
      <c r="CM81" s="174"/>
      <c r="CN81" s="174"/>
      <c r="CO81" s="174"/>
      <c r="CP81" s="174"/>
      <c r="CQ81" s="174"/>
      <c r="CR81" s="174"/>
      <c r="CS81" s="174"/>
      <c r="CT81" s="174"/>
      <c r="CU81" s="174"/>
      <c r="CV81" s="174"/>
      <c r="CW81" s="174"/>
      <c r="CX81" s="174"/>
      <c r="CY81" s="174"/>
      <c r="CZ81" s="174"/>
      <c r="DA81" s="174"/>
      <c r="DB81" s="174"/>
      <c r="DC81" s="174"/>
      <c r="DD81" s="174"/>
      <c r="DE81" s="174"/>
      <c r="DF81" s="174"/>
    </row>
    <row r="82" spans="1:110" ht="17.25" customHeight="1" x14ac:dyDescent="0.3">
      <c r="A82" s="154" t="s">
        <v>42</v>
      </c>
      <c r="B82" s="154"/>
      <c r="C82" s="154"/>
      <c r="D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  <c r="AR82" s="154"/>
      <c r="AS82" s="154"/>
      <c r="AT82" s="154"/>
      <c r="AU82" s="154"/>
      <c r="AV82" s="154"/>
      <c r="AW82" s="154"/>
      <c r="AX82" s="154"/>
      <c r="AY82" s="154"/>
      <c r="AZ82" s="154"/>
      <c r="BA82" s="154"/>
      <c r="BB82" s="154"/>
      <c r="BC82" s="154"/>
      <c r="BD82" s="154"/>
      <c r="BE82" s="154"/>
      <c r="BF82" s="154"/>
      <c r="BG82" s="154"/>
      <c r="BH82" s="154"/>
      <c r="BI82" s="154"/>
      <c r="BJ82" s="154"/>
      <c r="BK82" s="154"/>
      <c r="BL82" s="154"/>
      <c r="BM82" s="154"/>
      <c r="BN82" s="154"/>
      <c r="BO82" s="154"/>
      <c r="BP82" s="154"/>
      <c r="BQ82" s="154"/>
      <c r="BR82" s="154"/>
      <c r="BS82" s="154"/>
      <c r="BT82" s="154"/>
      <c r="BU82" s="154"/>
      <c r="BV82" s="154"/>
      <c r="BW82" s="154"/>
      <c r="BX82" s="154"/>
      <c r="BY82" s="154"/>
      <c r="BZ82" s="154"/>
      <c r="CA82" s="154"/>
      <c r="CB82" s="154"/>
      <c r="CC82" s="154"/>
      <c r="CD82" s="154"/>
      <c r="CE82" s="154"/>
      <c r="CF82" s="154"/>
      <c r="CG82" s="154"/>
      <c r="CH82" s="154"/>
      <c r="CI82" s="154"/>
      <c r="CJ82" s="154"/>
      <c r="CK82" s="154"/>
      <c r="CL82" s="154"/>
      <c r="CM82" s="154"/>
      <c r="CN82" s="154"/>
      <c r="CO82" s="154"/>
      <c r="CP82" s="154"/>
      <c r="CQ82" s="154"/>
      <c r="CR82" s="154"/>
      <c r="CS82" s="154"/>
      <c r="CT82" s="154"/>
      <c r="CU82" s="154"/>
      <c r="CV82" s="154"/>
      <c r="CW82" s="154"/>
      <c r="CX82" s="154"/>
      <c r="CY82" s="154"/>
      <c r="CZ82" s="154"/>
      <c r="DA82" s="154"/>
      <c r="DB82" s="154"/>
      <c r="DC82" s="154"/>
      <c r="DD82" s="154"/>
      <c r="DE82" s="154"/>
      <c r="DF82" s="154"/>
    </row>
    <row r="83" spans="1:110" x14ac:dyDescent="0.3">
      <c r="A83" s="155" t="s">
        <v>44</v>
      </c>
      <c r="B83" s="154"/>
      <c r="C83" s="154"/>
      <c r="D83" s="154"/>
    </row>
    <row r="86" spans="1:110" x14ac:dyDescent="0.3">
      <c r="I86" s="30"/>
      <c r="J86" s="30"/>
      <c r="K86" s="30"/>
      <c r="L86" s="30"/>
    </row>
    <row r="89" spans="1:110" x14ac:dyDescent="0.3">
      <c r="I89" s="30"/>
      <c r="J89" s="30"/>
      <c r="K89" s="30"/>
      <c r="L89" s="30"/>
    </row>
  </sheetData>
  <mergeCells count="3">
    <mergeCell ref="A3:A4"/>
    <mergeCell ref="M3:DG3"/>
    <mergeCell ref="A81:I81"/>
  </mergeCells>
  <pageMargins left="0.43307086614173229" right="0.23622047244094491" top="0.55118110236220474" bottom="0.55118110236220474" header="0.31496062992125984" footer="0.31496062992125984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NPL_Total</vt:lpstr>
      <vt:lpstr>NPL_HB</vt:lpstr>
      <vt:lpstr>NPL_IB</vt:lpstr>
      <vt:lpstr>NPL_HB!Область_печати</vt:lpstr>
      <vt:lpstr>NPL_IB!Область_печати</vt:lpstr>
      <vt:lpstr>NPL_Total!Область_печати</vt:lpstr>
    </vt:vector>
  </TitlesOfParts>
  <Company>NBU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Присяжнюк Надія Олександрівна</dc:creator>
  <cp:lastModifiedBy>Admin</cp:lastModifiedBy>
  <dcterms:created xsi:type="dcterms:W3CDTF">2026-03-30T08:25:31Z</dcterms:created>
  <dcterms:modified xsi:type="dcterms:W3CDTF">2026-04-19T12:14:02Z</dcterms:modified>
</cp:coreProperties>
</file>